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ream\Desktop\2025\DIGITA ENERGY\AFFAIRE\ABEL\Organigramme projet\"/>
    </mc:Choice>
  </mc:AlternateContent>
  <xr:revisionPtr revIDLastSave="0" documentId="13_ncr:1_{7702280F-E9F3-4942-948F-308976311D1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ADME" sheetId="1" r:id="rId1"/>
    <sheet name="REF_LISTS" sheetId="2" state="hidden" r:id="rId2"/>
    <sheet name="WBS_Taches" sheetId="3" r:id="rId3"/>
    <sheet name="Planning_Gantt" sheetId="4" r:id="rId4"/>
    <sheet name="KPIs" sheetId="5" r:id="rId5"/>
    <sheet name="Jalons" sheetId="6" r:id="rId6"/>
    <sheet name="Risques" sheetId="7" r:id="rId7"/>
  </sheets>
  <definedNames>
    <definedName name="_xlnm._FilterDatabase" localSheetId="2" hidden="1">WBS_Taches!$A$1:$S$1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7" l="1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18" i="5"/>
  <c r="B20" i="5" s="1"/>
  <c r="B15" i="5"/>
  <c r="B13" i="5"/>
  <c r="B11" i="5"/>
  <c r="B9" i="5"/>
  <c r="B7" i="5"/>
  <c r="B5" i="5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<sst xmlns="http://schemas.openxmlformats.org/spreadsheetml/2006/main" count="838" uniqueCount="256">
  <si>
    <t>PMUA – BRT Abidjan | Suivi + Projections (18 mois, T0=15/01/2026)</t>
  </si>
  <si>
    <t>Nouveaux apports</t>
  </si>
  <si>
    <t>Mode d’emploi (raccourci)</t>
  </si>
  <si>
    <t>Workstreams</t>
  </si>
  <si>
    <t>Liaisons HTA</t>
  </si>
  <si>
    <t>Génie civil</t>
  </si>
  <si>
    <t>Postes Sources (ext.)</t>
  </si>
  <si>
    <t>Postes de Livraison (PL)</t>
  </si>
  <si>
    <t>Postes de Répartition (PR)</t>
  </si>
  <si>
    <t>Mini‑stations</t>
  </si>
  <si>
    <t>Téléconduite/SCADA</t>
  </si>
  <si>
    <t>Essais &amp; MES</t>
  </si>
  <si>
    <t>Approvisionnements</t>
  </si>
  <si>
    <t>Statuts</t>
  </si>
  <si>
    <t>Non démarré</t>
  </si>
  <si>
    <t>En cours</t>
  </si>
  <si>
    <t>Bloqué</t>
  </si>
  <si>
    <t>Terminé</t>
  </si>
  <si>
    <t>Phases</t>
  </si>
  <si>
    <t>Études</t>
  </si>
  <si>
    <t>Achat</t>
  </si>
  <si>
    <t>Travaux</t>
  </si>
  <si>
    <t>Essais</t>
  </si>
  <si>
    <t>Mise en service</t>
  </si>
  <si>
    <t>ID</t>
  </si>
  <si>
    <t>WBS</t>
  </si>
  <si>
    <t>Workstream</t>
  </si>
  <si>
    <t>Phase</t>
  </si>
  <si>
    <t>Activité / Description détaillée</t>
  </si>
  <si>
    <t>Actif / Poste / Segment</t>
  </si>
  <si>
    <t>Localisation</t>
  </si>
  <si>
    <t>Qté prévue</t>
  </si>
  <si>
    <t>Unité</t>
  </si>
  <si>
    <t>Poids WBS (%)</t>
  </si>
  <si>
    <t>Date début prévue</t>
  </si>
  <si>
    <t>Date fin prévue</t>
  </si>
  <si>
    <t>Date début réelle</t>
  </si>
  <si>
    <t>Date fin réelle</t>
  </si>
  <si>
    <t>Avancement (%)</t>
  </si>
  <si>
    <t>Statut</t>
  </si>
  <si>
    <t>Responsable</t>
  </si>
  <si>
    <t>Dépendances</t>
  </si>
  <si>
    <t>Commentaire</t>
  </si>
  <si>
    <t>1.1</t>
  </si>
  <si>
    <t>Études d’exécution tracés liaisons HTA (plans/profils)</t>
  </si>
  <si>
    <t>Corridor BRT</t>
  </si>
  <si>
    <t>km</t>
  </si>
  <si>
    <t>1.2</t>
  </si>
  <si>
    <t>Dossiers d’exécution extensions 5 postes sources</t>
  </si>
  <si>
    <t>YOPOUGON1/PLATEAU/BIA N./DJIBI/RIVIERA</t>
  </si>
  <si>
    <t>Stations associées</t>
  </si>
  <si>
    <t>postes</t>
  </si>
  <si>
    <t>1.3</t>
  </si>
  <si>
    <t>Dossiers d’exécution 6 PL (protections, schémas, plans)</t>
  </si>
  <si>
    <t>Ouest/Est</t>
  </si>
  <si>
    <t>PL</t>
  </si>
  <si>
    <t>1.4</t>
  </si>
  <si>
    <t>Notes de calcul transformateurs &amp; TGBT mini‑stations</t>
  </si>
  <si>
    <t>27 MS</t>
  </si>
  <si>
    <t>MS</t>
  </si>
  <si>
    <t>1.5</t>
  </si>
  <si>
    <t>Spécification RTU/ITI, télécom &amp; points SCADA</t>
  </si>
  <si>
    <t>RTU/ITI</t>
  </si>
  <si>
    <t>Réseau BRT</t>
  </si>
  <si>
    <t>sites clés</t>
  </si>
  <si>
    <t>2.1</t>
  </si>
  <si>
    <t>Tranchées &amp; fourreaux Ø160 – sections urbaines</t>
  </si>
  <si>
    <t>Fourreaux</t>
  </si>
  <si>
    <t>2.2</t>
  </si>
  <si>
    <t>Pose câble 12/20 kV Djibi → ST20</t>
  </si>
  <si>
    <t>Câble HTA</t>
  </si>
  <si>
    <t>Djibi–ST20</t>
  </si>
  <si>
    <t>2.3</t>
  </si>
  <si>
    <t>Pose câble 12/20 kV Riviera → Dépôt Est</t>
  </si>
  <si>
    <t>Riviera–Dépôt Est</t>
  </si>
  <si>
    <t>2.4</t>
  </si>
  <si>
    <t>Pose câble 12/20 kV BIA Nord → ST9</t>
  </si>
  <si>
    <t>BIA Nord–ST9</t>
  </si>
  <si>
    <t>2.5</t>
  </si>
  <si>
    <t>Pose câble 12/20 kV BIA Nord → ST11</t>
  </si>
  <si>
    <t>BIA Nord–ST11</t>
  </si>
  <si>
    <t>2.6</t>
  </si>
  <si>
    <t>Pose câble 12/20 kV – autres sections (solde)</t>
  </si>
  <si>
    <t>Divers (corridor)</t>
  </si>
  <si>
    <t>3.1</t>
  </si>
  <si>
    <t>Extension poste source : cellules départ, protections, adaptation 20 kV</t>
  </si>
  <si>
    <t>Poste source</t>
  </si>
  <si>
    <t>YOPOUGON1</t>
  </si>
  <si>
    <t>poste</t>
  </si>
  <si>
    <t>3.2</t>
  </si>
  <si>
    <t>PLATEAU</t>
  </si>
  <si>
    <t>3.3</t>
  </si>
  <si>
    <t>BIA NORD</t>
  </si>
  <si>
    <t>3.4</t>
  </si>
  <si>
    <t>DJIBI</t>
  </si>
  <si>
    <t>3.5</t>
  </si>
  <si>
    <t>RIVIERA</t>
  </si>
  <si>
    <t>4.1</t>
  </si>
  <si>
    <t>Fourniture &amp; installation PL (tableaux HTA, protections, SCADA)</t>
  </si>
  <si>
    <t>D.O.</t>
  </si>
  <si>
    <t>4.2</t>
  </si>
  <si>
    <t>ST7</t>
  </si>
  <si>
    <t>4.3</t>
  </si>
  <si>
    <t>ST9</t>
  </si>
  <si>
    <t>4.4</t>
  </si>
  <si>
    <t>ST11</t>
  </si>
  <si>
    <t>4.5</t>
  </si>
  <si>
    <t>ST20</t>
  </si>
  <si>
    <t>4.6</t>
  </si>
  <si>
    <t>D.E.</t>
  </si>
  <si>
    <t>5.1</t>
  </si>
  <si>
    <t>Fourniture &amp; installation PR (liaisons/couplages)</t>
  </si>
  <si>
    <t>PR</t>
  </si>
  <si>
    <t>PR1</t>
  </si>
  <si>
    <t>5.2</t>
  </si>
  <si>
    <t>PR2</t>
  </si>
  <si>
    <t>5.3</t>
  </si>
  <si>
    <t>PR3</t>
  </si>
  <si>
    <t>5.4</t>
  </si>
  <si>
    <t>PR4</t>
  </si>
  <si>
    <t>5.5</t>
  </si>
  <si>
    <t>PR5</t>
  </si>
  <si>
    <t>5.6</t>
  </si>
  <si>
    <t>PR6</t>
  </si>
  <si>
    <t>6.1</t>
  </si>
  <si>
    <t>Installation mini‑station 15/0,4 kV + TGBT (800–2000 kVA)</t>
  </si>
  <si>
    <t>Mini‑station</t>
  </si>
  <si>
    <t>MS1</t>
  </si>
  <si>
    <t>6.2</t>
  </si>
  <si>
    <t>MS2</t>
  </si>
  <si>
    <t>6.3</t>
  </si>
  <si>
    <t>MS3</t>
  </si>
  <si>
    <t>6.4</t>
  </si>
  <si>
    <t>MS4</t>
  </si>
  <si>
    <t>6.5</t>
  </si>
  <si>
    <t>MS5</t>
  </si>
  <si>
    <t>6.6</t>
  </si>
  <si>
    <t>MS6</t>
  </si>
  <si>
    <t>6.7</t>
  </si>
  <si>
    <t>MS7</t>
  </si>
  <si>
    <t>6.8</t>
  </si>
  <si>
    <t>MS8</t>
  </si>
  <si>
    <t>6.9</t>
  </si>
  <si>
    <t>MS9</t>
  </si>
  <si>
    <t>6.10</t>
  </si>
  <si>
    <t>MS10</t>
  </si>
  <si>
    <t>6.11</t>
  </si>
  <si>
    <t>MS11</t>
  </si>
  <si>
    <t>6.12</t>
  </si>
  <si>
    <t>MS12</t>
  </si>
  <si>
    <t>6.13</t>
  </si>
  <si>
    <t>MS13</t>
  </si>
  <si>
    <t>6.14</t>
  </si>
  <si>
    <t>MS14</t>
  </si>
  <si>
    <t>6.15</t>
  </si>
  <si>
    <t>MS15</t>
  </si>
  <si>
    <t>6.16</t>
  </si>
  <si>
    <t>MS16</t>
  </si>
  <si>
    <t>6.17</t>
  </si>
  <si>
    <t>MS17</t>
  </si>
  <si>
    <t>6.18</t>
  </si>
  <si>
    <t>MS18</t>
  </si>
  <si>
    <t>6.19</t>
  </si>
  <si>
    <t>MS19</t>
  </si>
  <si>
    <t>6.20</t>
  </si>
  <si>
    <t>MS20</t>
  </si>
  <si>
    <t>6.21</t>
  </si>
  <si>
    <t>MS21</t>
  </si>
  <si>
    <t>6.22</t>
  </si>
  <si>
    <t>MS22</t>
  </si>
  <si>
    <t>6.23</t>
  </si>
  <si>
    <t>MS23</t>
  </si>
  <si>
    <t>6.24</t>
  </si>
  <si>
    <t>MS24</t>
  </si>
  <si>
    <t>6.25</t>
  </si>
  <si>
    <t>MS25</t>
  </si>
  <si>
    <t>6.26</t>
  </si>
  <si>
    <t>MS26</t>
  </si>
  <si>
    <t>6.27</t>
  </si>
  <si>
    <t>MS27</t>
  </si>
  <si>
    <t>7.1</t>
  </si>
  <si>
    <t>Installation RTU/ITI &amp; capteurs (états/mesures)</t>
  </si>
  <si>
    <t>Sites PL/PR/MS</t>
  </si>
  <si>
    <t>sites</t>
  </si>
  <si>
    <t>7.2</t>
  </si>
  <si>
    <t>Intégration centre de contrôle (IEC 104/61850), liaisons télécom</t>
  </si>
  <si>
    <t>SCADA</t>
  </si>
  <si>
    <t>Centre BRT</t>
  </si>
  <si>
    <t>centre</t>
  </si>
  <si>
    <t>8.1</t>
  </si>
  <si>
    <t>FAT usines (cellules, RTU/ITI, protections)</t>
  </si>
  <si>
    <t>FAT</t>
  </si>
  <si>
    <t>Usines</t>
  </si>
  <si>
    <t>lots</t>
  </si>
  <si>
    <t>8.2</t>
  </si>
  <si>
    <t>SAT sur site (fonctionnels/communications)</t>
  </si>
  <si>
    <t>SAT</t>
  </si>
  <si>
    <t>Sites</t>
  </si>
  <si>
    <t>8.3</t>
  </si>
  <si>
    <t>Mise en service progressive par tronçons</t>
  </si>
  <si>
    <t>MES</t>
  </si>
  <si>
    <t>Tronçons Ouest/Est</t>
  </si>
  <si>
    <t>tronçons</t>
  </si>
  <si>
    <t>Activité</t>
  </si>
  <si>
    <t>Start (plan)</t>
  </si>
  <si>
    <t>Finish (plan)</t>
  </si>
  <si>
    <t>Durée (sem)</t>
  </si>
  <si>
    <t>% Réel (WBS)</t>
  </si>
  <si>
    <t>Indicateurs globaux</t>
  </si>
  <si>
    <t>Date de statut (modifiable)</t>
  </si>
  <si>
    <t>Total tâches</t>
  </si>
  <si>
    <t>Tâches terminées</t>
  </si>
  <si>
    <t>Tâches en cours</t>
  </si>
  <si>
    <t>Tâches bloquées</t>
  </si>
  <si>
    <t>Tâches en retard</t>
  </si>
  <si>
    <t>Avancement global pondéré (réel)</t>
  </si>
  <si>
    <t>Avancement planifié (baseline) vs. réel</t>
  </si>
  <si>
    <t>Avancement planifié (pondéré)</t>
  </si>
  <si>
    <t>SPI-like (Réel / Planifié)</t>
  </si>
  <si>
    <t>Code</t>
  </si>
  <si>
    <t>Intitulé du jalon</t>
  </si>
  <si>
    <t>Date prévue</t>
  </si>
  <si>
    <t>Date réelle</t>
  </si>
  <si>
    <t>M1</t>
  </si>
  <si>
    <t>Validation Dossiers d’exécution (tous lots)</t>
  </si>
  <si>
    <t>M2</t>
  </si>
  <si>
    <t>Achats approuvés (cellules, transfo, RTU/ITI, câbles)</t>
  </si>
  <si>
    <t>M3</t>
  </si>
  <si>
    <t>Fin génie civil prioritaire (traversées critiques)</t>
  </si>
  <si>
    <t>M4</t>
  </si>
  <si>
    <t>Bouclage liaisons HTA Ouest/Est</t>
  </si>
  <si>
    <t>M5</t>
  </si>
  <si>
    <t>PL/PR opérationnels (tests site OK)</t>
  </si>
  <si>
    <t>Postes</t>
  </si>
  <si>
    <t>M6</t>
  </si>
  <si>
    <t>SCADA relié au centre &amp; stable</t>
  </si>
  <si>
    <t>M7</t>
  </si>
  <si>
    <t>Mise en service Ouest</t>
  </si>
  <si>
    <t>M8</t>
  </si>
  <si>
    <t>Mise en service Est</t>
  </si>
  <si>
    <t>Titre du risque</t>
  </si>
  <si>
    <t>Description</t>
  </si>
  <si>
    <t>Probabilité (1–5)</t>
  </si>
  <si>
    <t>Impact (1–5)</t>
  </si>
  <si>
    <t>Criticité (=Prob×Impact)</t>
  </si>
  <si>
    <t>Plan d’atténuation</t>
  </si>
  <si>
    <t>Propriétaire</t>
  </si>
  <si>
    <t>• KPI Projections : SPI-like (réalisé/planifié), dérive calendrier, critique.</t>
  </si>
  <si>
    <t>• Planification projetée sur 18 mois avec Gantt hebdomadaire.</t>
  </si>
  <si>
    <t>• Calcul d’un avancement planifié (baseline) vs. avancement réel (WBS) pour écart.</t>
  </si>
  <si>
    <t>2) Ajuster si besoin les dates planifiées dans Planning_Gantt (colonnes Start/Finish).</t>
  </si>
  <si>
    <t>3) ‘KPIs’ et ‘Projections’ se recalculent automatiquement (modifier la Date de statut).</t>
  </si>
  <si>
    <t>1) Compléter/mettre à jour % d’avancement et dates réelles dans WBS_Taches.</t>
  </si>
  <si>
    <t>Postes de Livraison (PL/PR)</t>
  </si>
  <si>
    <t>Dossiers d’exécution 6 PL + PR (protections, schémas, plans)</t>
  </si>
  <si>
    <t>6 PL + 6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</si>
</sst>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0F3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4DA"/>
      </bottom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left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9BC2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2"/>
  <sheetViews>
    <sheetView workbookViewId="0">
      <selection activeCell="A12" sqref="A12"/>
    </sheetView>
  </sheetViews>
  <sheetFormatPr baseColWidth="10" defaultColWidth="8.7265625"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ht="15.5" x14ac:dyDescent="0.35">
      <c r="A3" s="2" t="s">
        <v>1</v>
      </c>
    </row>
    <row r="4" spans="1:1" x14ac:dyDescent="0.35">
      <c r="A4" s="16" t="s">
        <v>248</v>
      </c>
    </row>
    <row r="5" spans="1:1" x14ac:dyDescent="0.35">
      <c r="A5" s="16" t="s">
        <v>249</v>
      </c>
    </row>
    <row r="6" spans="1:1" x14ac:dyDescent="0.35">
      <c r="A6" t="s">
        <v>247</v>
      </c>
    </row>
    <row r="9" spans="1:1" ht="15.5" x14ac:dyDescent="0.35">
      <c r="A9" s="2" t="s">
        <v>2</v>
      </c>
    </row>
    <row r="10" spans="1:1" x14ac:dyDescent="0.35">
      <c r="A10" s="16" t="s">
        <v>252</v>
      </c>
    </row>
    <row r="11" spans="1:1" x14ac:dyDescent="0.35">
      <c r="A11" t="s">
        <v>250</v>
      </c>
    </row>
    <row r="12" spans="1:1" x14ac:dyDescent="0.35">
      <c r="A12" t="s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baseColWidth="10" defaultColWidth="8.7265625" defaultRowHeight="14.5" x14ac:dyDescent="0.35"/>
  <sheetData>
    <row r="1" spans="1:10" x14ac:dyDescent="0.35">
      <c r="A1" s="3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3" spans="1:10" x14ac:dyDescent="0.35">
      <c r="A3" s="3" t="s">
        <v>13</v>
      </c>
      <c r="B3" t="s">
        <v>14</v>
      </c>
      <c r="C3" t="s">
        <v>15</v>
      </c>
      <c r="D3" t="s">
        <v>16</v>
      </c>
      <c r="E3" t="s">
        <v>17</v>
      </c>
    </row>
    <row r="5" spans="1:10" x14ac:dyDescent="0.35">
      <c r="A5" s="3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S61"/>
  <sheetViews>
    <sheetView tabSelected="1" workbookViewId="0">
      <pane ySplit="1" topLeftCell="A53" activePane="bottomLeft" state="frozen"/>
      <selection pane="bottomLeft" activeCell="O1" sqref="O1:O1048576"/>
    </sheetView>
  </sheetViews>
  <sheetFormatPr baseColWidth="10" defaultColWidth="8.7265625" defaultRowHeight="14.5" x14ac:dyDescent="0.35"/>
  <cols>
    <col min="1" max="1" width="8" customWidth="1"/>
    <col min="2" max="2" width="10" customWidth="1"/>
    <col min="3" max="3" width="24" customWidth="1"/>
    <col min="4" max="4" width="12" customWidth="1"/>
    <col min="5" max="5" width="52" customWidth="1"/>
    <col min="6" max="6" width="28" customWidth="1"/>
    <col min="7" max="7" width="20" customWidth="1"/>
    <col min="8" max="8" width="12" customWidth="1"/>
    <col min="9" max="9" width="10" customWidth="1"/>
    <col min="10" max="10" width="14" customWidth="1"/>
    <col min="11" max="14" width="16" customWidth="1"/>
    <col min="15" max="16" width="14" customWidth="1"/>
    <col min="17" max="17" width="20" customWidth="1"/>
    <col min="18" max="18" width="16" customWidth="1"/>
    <col min="19" max="19" width="40" customWidth="1"/>
  </cols>
  <sheetData>
    <row r="1" spans="1:19" ht="29" x14ac:dyDescent="0.3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</row>
    <row r="2" spans="1:19" x14ac:dyDescent="0.35">
      <c r="A2" s="17">
        <v>1</v>
      </c>
      <c r="B2" s="17" t="s">
        <v>43</v>
      </c>
      <c r="C2" s="17" t="s">
        <v>5</v>
      </c>
      <c r="D2" s="17" t="s">
        <v>19</v>
      </c>
      <c r="E2" s="18" t="s">
        <v>44</v>
      </c>
      <c r="F2" s="18" t="s">
        <v>4</v>
      </c>
      <c r="G2" s="18" t="s">
        <v>45</v>
      </c>
      <c r="H2" s="17">
        <v>32.56</v>
      </c>
      <c r="I2" s="17" t="s">
        <v>46</v>
      </c>
      <c r="J2" s="17">
        <v>1.5</v>
      </c>
      <c r="K2" s="17"/>
      <c r="L2" s="17"/>
      <c r="M2" s="17"/>
      <c r="N2" s="17"/>
      <c r="O2" s="17">
        <v>0</v>
      </c>
      <c r="P2" s="17" t="s">
        <v>14</v>
      </c>
      <c r="Q2" s="17"/>
      <c r="R2" s="17"/>
      <c r="S2" s="18"/>
    </row>
    <row r="3" spans="1:19" ht="29" x14ac:dyDescent="0.35">
      <c r="A3" s="17">
        <v>2</v>
      </c>
      <c r="B3" s="17" t="s">
        <v>47</v>
      </c>
      <c r="C3" s="17" t="s">
        <v>6</v>
      </c>
      <c r="D3" s="17" t="s">
        <v>19</v>
      </c>
      <c r="E3" s="18" t="s">
        <v>48</v>
      </c>
      <c r="F3" s="18" t="s">
        <v>49</v>
      </c>
      <c r="G3" s="18" t="s">
        <v>50</v>
      </c>
      <c r="H3" s="17">
        <v>5</v>
      </c>
      <c r="I3" s="17" t="s">
        <v>51</v>
      </c>
      <c r="J3" s="17">
        <v>1.2</v>
      </c>
      <c r="K3" s="17"/>
      <c r="L3" s="17"/>
      <c r="M3" s="17"/>
      <c r="N3" s="17"/>
      <c r="O3" s="17">
        <v>0</v>
      </c>
      <c r="P3" s="17" t="s">
        <v>14</v>
      </c>
      <c r="Q3" s="17"/>
      <c r="R3" s="17"/>
      <c r="S3" s="18"/>
    </row>
    <row r="4" spans="1:19" x14ac:dyDescent="0.35">
      <c r="A4" s="17">
        <v>3</v>
      </c>
      <c r="B4" s="17" t="s">
        <v>52</v>
      </c>
      <c r="C4" s="17" t="s">
        <v>253</v>
      </c>
      <c r="D4" s="17" t="s">
        <v>19</v>
      </c>
      <c r="E4" s="18" t="s">
        <v>254</v>
      </c>
      <c r="F4" s="18" t="s">
        <v>255</v>
      </c>
      <c r="G4" s="18" t="s">
        <v>54</v>
      </c>
      <c r="H4" s="17">
        <v>12</v>
      </c>
      <c r="I4" s="17" t="s">
        <v>55</v>
      </c>
      <c r="J4" s="17">
        <v>1.2</v>
      </c>
      <c r="K4" s="17"/>
      <c r="L4" s="17"/>
      <c r="M4" s="17"/>
      <c r="N4" s="17"/>
      <c r="O4" s="17">
        <v>0</v>
      </c>
      <c r="P4" s="17" t="s">
        <v>14</v>
      </c>
      <c r="Q4" s="17"/>
      <c r="R4" s="17"/>
      <c r="S4" s="18"/>
    </row>
    <row r="5" spans="1:19" x14ac:dyDescent="0.35">
      <c r="A5" s="17">
        <v>4</v>
      </c>
      <c r="B5" s="17" t="s">
        <v>56</v>
      </c>
      <c r="C5" s="17" t="s">
        <v>9</v>
      </c>
      <c r="D5" s="17" t="s">
        <v>19</v>
      </c>
      <c r="E5" s="18" t="s">
        <v>57</v>
      </c>
      <c r="F5" s="18" t="s">
        <v>58</v>
      </c>
      <c r="G5" s="18" t="s">
        <v>54</v>
      </c>
      <c r="H5" s="17">
        <v>27</v>
      </c>
      <c r="I5" s="17" t="s">
        <v>59</v>
      </c>
      <c r="J5" s="17">
        <v>1</v>
      </c>
      <c r="K5" s="17"/>
      <c r="L5" s="17"/>
      <c r="M5" s="17"/>
      <c r="N5" s="17"/>
      <c r="O5" s="17">
        <v>0</v>
      </c>
      <c r="P5" s="17" t="s">
        <v>14</v>
      </c>
      <c r="Q5" s="17"/>
      <c r="R5" s="17"/>
      <c r="S5" s="18"/>
    </row>
    <row r="6" spans="1:19" x14ac:dyDescent="0.35">
      <c r="A6" s="17">
        <v>5</v>
      </c>
      <c r="B6" s="17" t="s">
        <v>60</v>
      </c>
      <c r="C6" s="17" t="s">
        <v>10</v>
      </c>
      <c r="D6" s="17" t="s">
        <v>19</v>
      </c>
      <c r="E6" s="18" t="s">
        <v>61</v>
      </c>
      <c r="F6" s="18" t="s">
        <v>62</v>
      </c>
      <c r="G6" s="18" t="s">
        <v>63</v>
      </c>
      <c r="H6" s="17">
        <v>39</v>
      </c>
      <c r="I6" s="17" t="s">
        <v>64</v>
      </c>
      <c r="J6" s="17">
        <v>1.5</v>
      </c>
      <c r="K6" s="17"/>
      <c r="L6" s="17"/>
      <c r="M6" s="17"/>
      <c r="N6" s="17"/>
      <c r="O6" s="17">
        <v>0</v>
      </c>
      <c r="P6" s="17" t="s">
        <v>14</v>
      </c>
      <c r="Q6" s="17"/>
      <c r="R6" s="17"/>
      <c r="S6" s="18"/>
    </row>
    <row r="7" spans="1:19" x14ac:dyDescent="0.35">
      <c r="A7" s="19">
        <v>6</v>
      </c>
      <c r="B7" s="19" t="s">
        <v>65</v>
      </c>
      <c r="C7" s="19" t="s">
        <v>5</v>
      </c>
      <c r="D7" s="19" t="s">
        <v>21</v>
      </c>
      <c r="E7" s="20" t="s">
        <v>66</v>
      </c>
      <c r="F7" s="20" t="s">
        <v>67</v>
      </c>
      <c r="G7" s="20" t="s">
        <v>45</v>
      </c>
      <c r="H7" s="19">
        <v>20</v>
      </c>
      <c r="I7" s="19" t="s">
        <v>46</v>
      </c>
      <c r="J7" s="19">
        <v>4</v>
      </c>
      <c r="K7" s="19"/>
      <c r="L7" s="19"/>
      <c r="M7" s="19"/>
      <c r="N7" s="19"/>
      <c r="O7" s="19">
        <v>0</v>
      </c>
      <c r="P7" s="19" t="s">
        <v>14</v>
      </c>
      <c r="Q7" s="19"/>
      <c r="R7" s="19"/>
      <c r="S7" s="20"/>
    </row>
    <row r="8" spans="1:19" x14ac:dyDescent="0.35">
      <c r="A8" s="19">
        <v>7</v>
      </c>
      <c r="B8" s="19" t="s">
        <v>68</v>
      </c>
      <c r="C8" s="19" t="s">
        <v>4</v>
      </c>
      <c r="D8" s="19" t="s">
        <v>21</v>
      </c>
      <c r="E8" s="20" t="s">
        <v>69</v>
      </c>
      <c r="F8" s="20" t="s">
        <v>70</v>
      </c>
      <c r="G8" s="20" t="s">
        <v>71</v>
      </c>
      <c r="H8" s="19">
        <v>4.0999999999999996</v>
      </c>
      <c r="I8" s="19" t="s">
        <v>46</v>
      </c>
      <c r="J8" s="19">
        <v>2</v>
      </c>
      <c r="K8" s="19"/>
      <c r="L8" s="19"/>
      <c r="M8" s="19"/>
      <c r="N8" s="19"/>
      <c r="O8" s="19">
        <v>0</v>
      </c>
      <c r="P8" s="19" t="s">
        <v>14</v>
      </c>
      <c r="Q8" s="19"/>
      <c r="R8" s="19"/>
      <c r="S8" s="20"/>
    </row>
    <row r="9" spans="1:19" x14ac:dyDescent="0.35">
      <c r="A9" s="19">
        <v>8</v>
      </c>
      <c r="B9" s="19" t="s">
        <v>72</v>
      </c>
      <c r="C9" s="19" t="s">
        <v>4</v>
      </c>
      <c r="D9" s="19" t="s">
        <v>21</v>
      </c>
      <c r="E9" s="20" t="s">
        <v>73</v>
      </c>
      <c r="F9" s="20" t="s">
        <v>70</v>
      </c>
      <c r="G9" s="20" t="s">
        <v>74</v>
      </c>
      <c r="H9" s="19">
        <v>5.0999999999999996</v>
      </c>
      <c r="I9" s="19" t="s">
        <v>46</v>
      </c>
      <c r="J9" s="19">
        <v>2.2000000000000002</v>
      </c>
      <c r="K9" s="19"/>
      <c r="L9" s="19"/>
      <c r="M9" s="19"/>
      <c r="N9" s="19"/>
      <c r="O9" s="19">
        <v>0</v>
      </c>
      <c r="P9" s="19" t="s">
        <v>14</v>
      </c>
      <c r="Q9" s="19"/>
      <c r="R9" s="19"/>
      <c r="S9" s="20"/>
    </row>
    <row r="10" spans="1:19" x14ac:dyDescent="0.35">
      <c r="A10" s="19">
        <v>9</v>
      </c>
      <c r="B10" s="19" t="s">
        <v>75</v>
      </c>
      <c r="C10" s="19" t="s">
        <v>4</v>
      </c>
      <c r="D10" s="19" t="s">
        <v>21</v>
      </c>
      <c r="E10" s="20" t="s">
        <v>76</v>
      </c>
      <c r="F10" s="20" t="s">
        <v>70</v>
      </c>
      <c r="G10" s="20" t="s">
        <v>77</v>
      </c>
      <c r="H10" s="19">
        <v>0.42</v>
      </c>
      <c r="I10" s="19" t="s">
        <v>46</v>
      </c>
      <c r="J10" s="19">
        <v>0.6</v>
      </c>
      <c r="K10" s="19"/>
      <c r="L10" s="19"/>
      <c r="M10" s="19"/>
      <c r="N10" s="19"/>
      <c r="O10" s="19">
        <v>0</v>
      </c>
      <c r="P10" s="19" t="s">
        <v>14</v>
      </c>
      <c r="Q10" s="19"/>
      <c r="R10" s="19"/>
      <c r="S10" s="20"/>
    </row>
    <row r="11" spans="1:19" x14ac:dyDescent="0.35">
      <c r="A11" s="19">
        <v>10</v>
      </c>
      <c r="B11" s="19" t="s">
        <v>78</v>
      </c>
      <c r="C11" s="19" t="s">
        <v>4</v>
      </c>
      <c r="D11" s="19" t="s">
        <v>21</v>
      </c>
      <c r="E11" s="20" t="s">
        <v>79</v>
      </c>
      <c r="F11" s="20" t="s">
        <v>70</v>
      </c>
      <c r="G11" s="20" t="s">
        <v>80</v>
      </c>
      <c r="H11" s="19">
        <v>2.2200000000000002</v>
      </c>
      <c r="I11" s="19" t="s">
        <v>46</v>
      </c>
      <c r="J11" s="19">
        <v>1.2</v>
      </c>
      <c r="K11" s="19"/>
      <c r="L11" s="19"/>
      <c r="M11" s="19"/>
      <c r="N11" s="19"/>
      <c r="O11" s="19">
        <v>0</v>
      </c>
      <c r="P11" s="19" t="s">
        <v>14</v>
      </c>
      <c r="Q11" s="19"/>
      <c r="R11" s="19"/>
      <c r="S11" s="20"/>
    </row>
    <row r="12" spans="1:19" x14ac:dyDescent="0.35">
      <c r="A12" s="19">
        <v>11</v>
      </c>
      <c r="B12" s="19" t="s">
        <v>81</v>
      </c>
      <c r="C12" s="19" t="s">
        <v>4</v>
      </c>
      <c r="D12" s="19" t="s">
        <v>21</v>
      </c>
      <c r="E12" s="20" t="s">
        <v>82</v>
      </c>
      <c r="F12" s="20" t="s">
        <v>70</v>
      </c>
      <c r="G12" s="20" t="s">
        <v>83</v>
      </c>
      <c r="H12" s="19">
        <v>20.72</v>
      </c>
      <c r="I12" s="19" t="s">
        <v>46</v>
      </c>
      <c r="J12" s="19">
        <v>4.5</v>
      </c>
      <c r="K12" s="19"/>
      <c r="L12" s="19"/>
      <c r="M12" s="19"/>
      <c r="N12" s="19"/>
      <c r="O12" s="19">
        <v>0</v>
      </c>
      <c r="P12" s="19" t="s">
        <v>14</v>
      </c>
      <c r="Q12" s="19"/>
      <c r="R12" s="19"/>
      <c r="S12" s="20"/>
    </row>
    <row r="13" spans="1:19" ht="29" x14ac:dyDescent="0.35">
      <c r="A13" s="21">
        <v>12</v>
      </c>
      <c r="B13" s="21" t="s">
        <v>84</v>
      </c>
      <c r="C13" s="21" t="s">
        <v>6</v>
      </c>
      <c r="D13" s="21" t="s">
        <v>21</v>
      </c>
      <c r="E13" s="22" t="s">
        <v>85</v>
      </c>
      <c r="F13" s="22" t="s">
        <v>86</v>
      </c>
      <c r="G13" s="22" t="s">
        <v>87</v>
      </c>
      <c r="H13" s="21">
        <v>1</v>
      </c>
      <c r="I13" s="21" t="s">
        <v>88</v>
      </c>
      <c r="J13" s="21">
        <v>2</v>
      </c>
      <c r="K13" s="21"/>
      <c r="L13" s="21"/>
      <c r="M13" s="21"/>
      <c r="N13" s="21"/>
      <c r="O13" s="21">
        <v>0</v>
      </c>
      <c r="P13" s="21" t="s">
        <v>14</v>
      </c>
      <c r="Q13" s="21"/>
      <c r="R13" s="21"/>
      <c r="S13" s="22"/>
    </row>
    <row r="14" spans="1:19" ht="29" x14ac:dyDescent="0.35">
      <c r="A14" s="21">
        <v>13</v>
      </c>
      <c r="B14" s="21" t="s">
        <v>89</v>
      </c>
      <c r="C14" s="21" t="s">
        <v>6</v>
      </c>
      <c r="D14" s="21" t="s">
        <v>21</v>
      </c>
      <c r="E14" s="22" t="s">
        <v>85</v>
      </c>
      <c r="F14" s="22" t="s">
        <v>86</v>
      </c>
      <c r="G14" s="22" t="s">
        <v>90</v>
      </c>
      <c r="H14" s="21">
        <v>1</v>
      </c>
      <c r="I14" s="21" t="s">
        <v>88</v>
      </c>
      <c r="J14" s="21">
        <v>2</v>
      </c>
      <c r="K14" s="21"/>
      <c r="L14" s="21"/>
      <c r="M14" s="21"/>
      <c r="N14" s="21"/>
      <c r="O14" s="21">
        <v>0</v>
      </c>
      <c r="P14" s="21" t="s">
        <v>14</v>
      </c>
      <c r="Q14" s="21"/>
      <c r="R14" s="21"/>
      <c r="S14" s="22"/>
    </row>
    <row r="15" spans="1:19" ht="29" x14ac:dyDescent="0.35">
      <c r="A15" s="21">
        <v>14</v>
      </c>
      <c r="B15" s="21" t="s">
        <v>91</v>
      </c>
      <c r="C15" s="21" t="s">
        <v>6</v>
      </c>
      <c r="D15" s="21" t="s">
        <v>21</v>
      </c>
      <c r="E15" s="22" t="s">
        <v>85</v>
      </c>
      <c r="F15" s="22" t="s">
        <v>86</v>
      </c>
      <c r="G15" s="22" t="s">
        <v>92</v>
      </c>
      <c r="H15" s="21">
        <v>1</v>
      </c>
      <c r="I15" s="21" t="s">
        <v>88</v>
      </c>
      <c r="J15" s="21">
        <v>2</v>
      </c>
      <c r="K15" s="21"/>
      <c r="L15" s="21"/>
      <c r="M15" s="21"/>
      <c r="N15" s="21"/>
      <c r="O15" s="21">
        <v>0</v>
      </c>
      <c r="P15" s="21" t="s">
        <v>14</v>
      </c>
      <c r="Q15" s="21"/>
      <c r="R15" s="21"/>
      <c r="S15" s="22"/>
    </row>
    <row r="16" spans="1:19" ht="29" x14ac:dyDescent="0.35">
      <c r="A16" s="21">
        <v>15</v>
      </c>
      <c r="B16" s="21" t="s">
        <v>93</v>
      </c>
      <c r="C16" s="21" t="s">
        <v>6</v>
      </c>
      <c r="D16" s="21" t="s">
        <v>21</v>
      </c>
      <c r="E16" s="22" t="s">
        <v>85</v>
      </c>
      <c r="F16" s="22" t="s">
        <v>86</v>
      </c>
      <c r="G16" s="22" t="s">
        <v>94</v>
      </c>
      <c r="H16" s="21">
        <v>1</v>
      </c>
      <c r="I16" s="21" t="s">
        <v>88</v>
      </c>
      <c r="J16" s="21">
        <v>2</v>
      </c>
      <c r="K16" s="21"/>
      <c r="L16" s="21"/>
      <c r="M16" s="21"/>
      <c r="N16" s="21"/>
      <c r="O16" s="21">
        <v>0</v>
      </c>
      <c r="P16" s="21" t="s">
        <v>14</v>
      </c>
      <c r="Q16" s="21"/>
      <c r="R16" s="21"/>
      <c r="S16" s="22"/>
    </row>
    <row r="17" spans="1:19" ht="29" x14ac:dyDescent="0.35">
      <c r="A17" s="21">
        <v>16</v>
      </c>
      <c r="B17" s="21" t="s">
        <v>95</v>
      </c>
      <c r="C17" s="21" t="s">
        <v>6</v>
      </c>
      <c r="D17" s="21" t="s">
        <v>21</v>
      </c>
      <c r="E17" s="22" t="s">
        <v>85</v>
      </c>
      <c r="F17" s="22" t="s">
        <v>86</v>
      </c>
      <c r="G17" s="22" t="s">
        <v>96</v>
      </c>
      <c r="H17" s="21">
        <v>1</v>
      </c>
      <c r="I17" s="21" t="s">
        <v>88</v>
      </c>
      <c r="J17" s="21">
        <v>2</v>
      </c>
      <c r="K17" s="21"/>
      <c r="L17" s="21"/>
      <c r="M17" s="21"/>
      <c r="N17" s="21"/>
      <c r="O17" s="21">
        <v>0</v>
      </c>
      <c r="P17" s="21" t="s">
        <v>14</v>
      </c>
      <c r="Q17" s="21"/>
      <c r="R17" s="21"/>
      <c r="S17" s="22"/>
    </row>
    <row r="18" spans="1:19" ht="29" x14ac:dyDescent="0.35">
      <c r="A18" s="23">
        <v>17</v>
      </c>
      <c r="B18" s="23" t="s">
        <v>97</v>
      </c>
      <c r="C18" s="23" t="s">
        <v>7</v>
      </c>
      <c r="D18" s="23" t="s">
        <v>21</v>
      </c>
      <c r="E18" s="24" t="s">
        <v>98</v>
      </c>
      <c r="F18" s="24" t="s">
        <v>55</v>
      </c>
      <c r="G18" s="24" t="s">
        <v>99</v>
      </c>
      <c r="H18" s="23">
        <v>1</v>
      </c>
      <c r="I18" s="23" t="s">
        <v>55</v>
      </c>
      <c r="J18" s="23">
        <v>2.2000000000000002</v>
      </c>
      <c r="K18" s="23"/>
      <c r="L18" s="23"/>
      <c r="M18" s="23"/>
      <c r="N18" s="23"/>
      <c r="O18" s="23">
        <v>0</v>
      </c>
      <c r="P18" s="23" t="s">
        <v>14</v>
      </c>
      <c r="Q18" s="23"/>
      <c r="R18" s="23"/>
      <c r="S18" s="24"/>
    </row>
    <row r="19" spans="1:19" ht="29" x14ac:dyDescent="0.35">
      <c r="A19" s="23">
        <v>18</v>
      </c>
      <c r="B19" s="23" t="s">
        <v>100</v>
      </c>
      <c r="C19" s="23" t="s">
        <v>7</v>
      </c>
      <c r="D19" s="23" t="s">
        <v>21</v>
      </c>
      <c r="E19" s="24" t="s">
        <v>98</v>
      </c>
      <c r="F19" s="24" t="s">
        <v>55</v>
      </c>
      <c r="G19" s="24" t="s">
        <v>101</v>
      </c>
      <c r="H19" s="23">
        <v>1</v>
      </c>
      <c r="I19" s="23" t="s">
        <v>55</v>
      </c>
      <c r="J19" s="23">
        <v>2.2000000000000002</v>
      </c>
      <c r="K19" s="23"/>
      <c r="L19" s="23"/>
      <c r="M19" s="23"/>
      <c r="N19" s="23"/>
      <c r="O19" s="23">
        <v>0</v>
      </c>
      <c r="P19" s="23" t="s">
        <v>14</v>
      </c>
      <c r="Q19" s="23"/>
      <c r="R19" s="23"/>
      <c r="S19" s="24"/>
    </row>
    <row r="20" spans="1:19" ht="29" x14ac:dyDescent="0.35">
      <c r="A20" s="23">
        <v>19</v>
      </c>
      <c r="B20" s="23" t="s">
        <v>102</v>
      </c>
      <c r="C20" s="23" t="s">
        <v>7</v>
      </c>
      <c r="D20" s="23" t="s">
        <v>21</v>
      </c>
      <c r="E20" s="24" t="s">
        <v>98</v>
      </c>
      <c r="F20" s="24" t="s">
        <v>55</v>
      </c>
      <c r="G20" s="24" t="s">
        <v>103</v>
      </c>
      <c r="H20" s="23">
        <v>1</v>
      </c>
      <c r="I20" s="23" t="s">
        <v>55</v>
      </c>
      <c r="J20" s="23">
        <v>2.2000000000000002</v>
      </c>
      <c r="K20" s="23"/>
      <c r="L20" s="23"/>
      <c r="M20" s="23"/>
      <c r="N20" s="23"/>
      <c r="O20" s="23">
        <v>0</v>
      </c>
      <c r="P20" s="23" t="s">
        <v>14</v>
      </c>
      <c r="Q20" s="23"/>
      <c r="R20" s="23"/>
      <c r="S20" s="24"/>
    </row>
    <row r="21" spans="1:19" ht="29" x14ac:dyDescent="0.35">
      <c r="A21" s="23">
        <v>20</v>
      </c>
      <c r="B21" s="23" t="s">
        <v>104</v>
      </c>
      <c r="C21" s="23" t="s">
        <v>7</v>
      </c>
      <c r="D21" s="23" t="s">
        <v>21</v>
      </c>
      <c r="E21" s="24" t="s">
        <v>98</v>
      </c>
      <c r="F21" s="24" t="s">
        <v>55</v>
      </c>
      <c r="G21" s="24" t="s">
        <v>105</v>
      </c>
      <c r="H21" s="23">
        <v>1</v>
      </c>
      <c r="I21" s="23" t="s">
        <v>55</v>
      </c>
      <c r="J21" s="23">
        <v>2.2000000000000002</v>
      </c>
      <c r="K21" s="23"/>
      <c r="L21" s="23"/>
      <c r="M21" s="23"/>
      <c r="N21" s="23"/>
      <c r="O21" s="23">
        <v>0</v>
      </c>
      <c r="P21" s="23" t="s">
        <v>14</v>
      </c>
      <c r="Q21" s="23"/>
      <c r="R21" s="23"/>
      <c r="S21" s="24"/>
    </row>
    <row r="22" spans="1:19" ht="29" x14ac:dyDescent="0.35">
      <c r="A22" s="23">
        <v>21</v>
      </c>
      <c r="B22" s="23" t="s">
        <v>106</v>
      </c>
      <c r="C22" s="23" t="s">
        <v>7</v>
      </c>
      <c r="D22" s="23" t="s">
        <v>21</v>
      </c>
      <c r="E22" s="24" t="s">
        <v>98</v>
      </c>
      <c r="F22" s="24" t="s">
        <v>55</v>
      </c>
      <c r="G22" s="24" t="s">
        <v>107</v>
      </c>
      <c r="H22" s="23">
        <v>1</v>
      </c>
      <c r="I22" s="23" t="s">
        <v>55</v>
      </c>
      <c r="J22" s="23">
        <v>2.2000000000000002</v>
      </c>
      <c r="K22" s="23"/>
      <c r="L22" s="23"/>
      <c r="M22" s="23"/>
      <c r="N22" s="23"/>
      <c r="O22" s="23">
        <v>0</v>
      </c>
      <c r="P22" s="23" t="s">
        <v>14</v>
      </c>
      <c r="Q22" s="23"/>
      <c r="R22" s="23"/>
      <c r="S22" s="24"/>
    </row>
    <row r="23" spans="1:19" ht="29" x14ac:dyDescent="0.35">
      <c r="A23" s="23">
        <v>22</v>
      </c>
      <c r="B23" s="23" t="s">
        <v>108</v>
      </c>
      <c r="C23" s="23" t="s">
        <v>7</v>
      </c>
      <c r="D23" s="23" t="s">
        <v>21</v>
      </c>
      <c r="E23" s="24" t="s">
        <v>98</v>
      </c>
      <c r="F23" s="24" t="s">
        <v>55</v>
      </c>
      <c r="G23" s="24" t="s">
        <v>109</v>
      </c>
      <c r="H23" s="23">
        <v>1</v>
      </c>
      <c r="I23" s="23" t="s">
        <v>55</v>
      </c>
      <c r="J23" s="23">
        <v>2.2000000000000002</v>
      </c>
      <c r="K23" s="23"/>
      <c r="L23" s="23"/>
      <c r="M23" s="23"/>
      <c r="N23" s="23"/>
      <c r="O23" s="23">
        <v>0</v>
      </c>
      <c r="P23" s="23" t="s">
        <v>14</v>
      </c>
      <c r="Q23" s="23"/>
      <c r="R23" s="23"/>
      <c r="S23" s="24"/>
    </row>
    <row r="24" spans="1:19" x14ac:dyDescent="0.35">
      <c r="A24" s="25">
        <v>23</v>
      </c>
      <c r="B24" s="25" t="s">
        <v>110</v>
      </c>
      <c r="C24" s="25" t="s">
        <v>8</v>
      </c>
      <c r="D24" s="25" t="s">
        <v>21</v>
      </c>
      <c r="E24" s="26" t="s">
        <v>111</v>
      </c>
      <c r="F24" s="26" t="s">
        <v>112</v>
      </c>
      <c r="G24" s="26" t="s">
        <v>113</v>
      </c>
      <c r="H24" s="25">
        <v>1</v>
      </c>
      <c r="I24" s="25" t="s">
        <v>112</v>
      </c>
      <c r="J24" s="25">
        <v>1.4</v>
      </c>
      <c r="K24" s="25"/>
      <c r="L24" s="25"/>
      <c r="M24" s="25"/>
      <c r="N24" s="25"/>
      <c r="O24" s="25">
        <v>0</v>
      </c>
      <c r="P24" s="25" t="s">
        <v>14</v>
      </c>
      <c r="Q24" s="25"/>
      <c r="R24" s="25"/>
      <c r="S24" s="26"/>
    </row>
    <row r="25" spans="1:19" x14ac:dyDescent="0.35">
      <c r="A25" s="25">
        <v>24</v>
      </c>
      <c r="B25" s="25" t="s">
        <v>114</v>
      </c>
      <c r="C25" s="25" t="s">
        <v>8</v>
      </c>
      <c r="D25" s="25" t="s">
        <v>21</v>
      </c>
      <c r="E25" s="26" t="s">
        <v>111</v>
      </c>
      <c r="F25" s="26" t="s">
        <v>112</v>
      </c>
      <c r="G25" s="26" t="s">
        <v>115</v>
      </c>
      <c r="H25" s="25">
        <v>1</v>
      </c>
      <c r="I25" s="25" t="s">
        <v>112</v>
      </c>
      <c r="J25" s="25">
        <v>1.4</v>
      </c>
      <c r="K25" s="25"/>
      <c r="L25" s="25"/>
      <c r="M25" s="25"/>
      <c r="N25" s="25"/>
      <c r="O25" s="25">
        <v>0</v>
      </c>
      <c r="P25" s="25" t="s">
        <v>14</v>
      </c>
      <c r="Q25" s="25"/>
      <c r="R25" s="25"/>
      <c r="S25" s="26"/>
    </row>
    <row r="26" spans="1:19" x14ac:dyDescent="0.35">
      <c r="A26" s="25">
        <v>25</v>
      </c>
      <c r="B26" s="25" t="s">
        <v>116</v>
      </c>
      <c r="C26" s="25" t="s">
        <v>8</v>
      </c>
      <c r="D26" s="25" t="s">
        <v>21</v>
      </c>
      <c r="E26" s="26" t="s">
        <v>111</v>
      </c>
      <c r="F26" s="26" t="s">
        <v>112</v>
      </c>
      <c r="G26" s="26" t="s">
        <v>117</v>
      </c>
      <c r="H26" s="25">
        <v>1</v>
      </c>
      <c r="I26" s="25" t="s">
        <v>112</v>
      </c>
      <c r="J26" s="25">
        <v>1.4</v>
      </c>
      <c r="K26" s="25"/>
      <c r="L26" s="25"/>
      <c r="M26" s="25"/>
      <c r="N26" s="25"/>
      <c r="O26" s="25">
        <v>0</v>
      </c>
      <c r="P26" s="25" t="s">
        <v>14</v>
      </c>
      <c r="Q26" s="25"/>
      <c r="R26" s="25"/>
      <c r="S26" s="26"/>
    </row>
    <row r="27" spans="1:19" x14ac:dyDescent="0.35">
      <c r="A27" s="25">
        <v>26</v>
      </c>
      <c r="B27" s="25" t="s">
        <v>118</v>
      </c>
      <c r="C27" s="25" t="s">
        <v>8</v>
      </c>
      <c r="D27" s="25" t="s">
        <v>21</v>
      </c>
      <c r="E27" s="26" t="s">
        <v>111</v>
      </c>
      <c r="F27" s="26" t="s">
        <v>112</v>
      </c>
      <c r="G27" s="26" t="s">
        <v>119</v>
      </c>
      <c r="H27" s="25">
        <v>1</v>
      </c>
      <c r="I27" s="25" t="s">
        <v>112</v>
      </c>
      <c r="J27" s="25">
        <v>1.4</v>
      </c>
      <c r="K27" s="25"/>
      <c r="L27" s="25"/>
      <c r="M27" s="25"/>
      <c r="N27" s="25"/>
      <c r="O27" s="25">
        <v>0</v>
      </c>
      <c r="P27" s="25" t="s">
        <v>14</v>
      </c>
      <c r="Q27" s="25"/>
      <c r="R27" s="25"/>
      <c r="S27" s="26"/>
    </row>
    <row r="28" spans="1:19" x14ac:dyDescent="0.35">
      <c r="A28" s="25">
        <v>27</v>
      </c>
      <c r="B28" s="25" t="s">
        <v>120</v>
      </c>
      <c r="C28" s="25" t="s">
        <v>8</v>
      </c>
      <c r="D28" s="25" t="s">
        <v>21</v>
      </c>
      <c r="E28" s="26" t="s">
        <v>111</v>
      </c>
      <c r="F28" s="26" t="s">
        <v>112</v>
      </c>
      <c r="G28" s="26" t="s">
        <v>121</v>
      </c>
      <c r="H28" s="25">
        <v>1</v>
      </c>
      <c r="I28" s="25" t="s">
        <v>112</v>
      </c>
      <c r="J28" s="25">
        <v>1.4</v>
      </c>
      <c r="K28" s="25"/>
      <c r="L28" s="25"/>
      <c r="M28" s="25"/>
      <c r="N28" s="25"/>
      <c r="O28" s="25">
        <v>0</v>
      </c>
      <c r="P28" s="25" t="s">
        <v>14</v>
      </c>
      <c r="Q28" s="25"/>
      <c r="R28" s="25"/>
      <c r="S28" s="26"/>
    </row>
    <row r="29" spans="1:19" x14ac:dyDescent="0.35">
      <c r="A29" s="25">
        <v>28</v>
      </c>
      <c r="B29" s="25" t="s">
        <v>122</v>
      </c>
      <c r="C29" s="25" t="s">
        <v>8</v>
      </c>
      <c r="D29" s="25" t="s">
        <v>21</v>
      </c>
      <c r="E29" s="26" t="s">
        <v>111</v>
      </c>
      <c r="F29" s="26" t="s">
        <v>112</v>
      </c>
      <c r="G29" s="26" t="s">
        <v>123</v>
      </c>
      <c r="H29" s="25">
        <v>1</v>
      </c>
      <c r="I29" s="25" t="s">
        <v>112</v>
      </c>
      <c r="J29" s="25">
        <v>1.4</v>
      </c>
      <c r="K29" s="25"/>
      <c r="L29" s="25"/>
      <c r="M29" s="25"/>
      <c r="N29" s="25"/>
      <c r="O29" s="25">
        <v>0</v>
      </c>
      <c r="P29" s="25" t="s">
        <v>14</v>
      </c>
      <c r="Q29" s="25"/>
      <c r="R29" s="25"/>
      <c r="S29" s="26"/>
    </row>
    <row r="30" spans="1:19" x14ac:dyDescent="0.35">
      <c r="A30" s="27">
        <v>29</v>
      </c>
      <c r="B30" s="27" t="s">
        <v>124</v>
      </c>
      <c r="C30" s="27" t="s">
        <v>9</v>
      </c>
      <c r="D30" s="27" t="s">
        <v>21</v>
      </c>
      <c r="E30" s="28" t="s">
        <v>125</v>
      </c>
      <c r="F30" s="28" t="s">
        <v>126</v>
      </c>
      <c r="G30" s="28" t="s">
        <v>127</v>
      </c>
      <c r="H30" s="27">
        <v>1</v>
      </c>
      <c r="I30" s="27" t="s">
        <v>59</v>
      </c>
      <c r="J30" s="27">
        <v>1.1000000000000001</v>
      </c>
      <c r="K30" s="27"/>
      <c r="L30" s="27"/>
      <c r="M30" s="27"/>
      <c r="N30" s="27"/>
      <c r="O30" s="27">
        <v>0</v>
      </c>
      <c r="P30" s="27" t="s">
        <v>14</v>
      </c>
      <c r="Q30" s="27"/>
      <c r="R30" s="27"/>
      <c r="S30" s="28"/>
    </row>
    <row r="31" spans="1:19" x14ac:dyDescent="0.35">
      <c r="A31" s="27">
        <v>30</v>
      </c>
      <c r="B31" s="27" t="s">
        <v>128</v>
      </c>
      <c r="C31" s="27" t="s">
        <v>9</v>
      </c>
      <c r="D31" s="27" t="s">
        <v>21</v>
      </c>
      <c r="E31" s="28" t="s">
        <v>125</v>
      </c>
      <c r="F31" s="28" t="s">
        <v>126</v>
      </c>
      <c r="G31" s="28" t="s">
        <v>129</v>
      </c>
      <c r="H31" s="27">
        <v>1</v>
      </c>
      <c r="I31" s="27" t="s">
        <v>59</v>
      </c>
      <c r="J31" s="27">
        <v>1.1000000000000001</v>
      </c>
      <c r="K31" s="27"/>
      <c r="L31" s="27"/>
      <c r="M31" s="27"/>
      <c r="N31" s="27"/>
      <c r="O31" s="27">
        <v>0</v>
      </c>
      <c r="P31" s="27" t="s">
        <v>14</v>
      </c>
      <c r="Q31" s="27"/>
      <c r="R31" s="27"/>
      <c r="S31" s="28"/>
    </row>
    <row r="32" spans="1:19" x14ac:dyDescent="0.35">
      <c r="A32" s="27">
        <v>31</v>
      </c>
      <c r="B32" s="27" t="s">
        <v>130</v>
      </c>
      <c r="C32" s="27" t="s">
        <v>9</v>
      </c>
      <c r="D32" s="27" t="s">
        <v>21</v>
      </c>
      <c r="E32" s="28" t="s">
        <v>125</v>
      </c>
      <c r="F32" s="28" t="s">
        <v>126</v>
      </c>
      <c r="G32" s="28" t="s">
        <v>131</v>
      </c>
      <c r="H32" s="27">
        <v>1</v>
      </c>
      <c r="I32" s="27" t="s">
        <v>59</v>
      </c>
      <c r="J32" s="27">
        <v>1.1000000000000001</v>
      </c>
      <c r="K32" s="27"/>
      <c r="L32" s="27"/>
      <c r="M32" s="27"/>
      <c r="N32" s="27"/>
      <c r="O32" s="27">
        <v>0</v>
      </c>
      <c r="P32" s="27" t="s">
        <v>14</v>
      </c>
      <c r="Q32" s="27"/>
      <c r="R32" s="27"/>
      <c r="S32" s="28"/>
    </row>
    <row r="33" spans="1:19" x14ac:dyDescent="0.35">
      <c r="A33" s="27">
        <v>32</v>
      </c>
      <c r="B33" s="27" t="s">
        <v>132</v>
      </c>
      <c r="C33" s="27" t="s">
        <v>9</v>
      </c>
      <c r="D33" s="27" t="s">
        <v>21</v>
      </c>
      <c r="E33" s="28" t="s">
        <v>125</v>
      </c>
      <c r="F33" s="28" t="s">
        <v>126</v>
      </c>
      <c r="G33" s="28" t="s">
        <v>133</v>
      </c>
      <c r="H33" s="27">
        <v>1</v>
      </c>
      <c r="I33" s="27" t="s">
        <v>59</v>
      </c>
      <c r="J33" s="27">
        <v>1.1000000000000001</v>
      </c>
      <c r="K33" s="27"/>
      <c r="L33" s="27"/>
      <c r="M33" s="27"/>
      <c r="N33" s="27"/>
      <c r="O33" s="27">
        <v>0</v>
      </c>
      <c r="P33" s="27" t="s">
        <v>14</v>
      </c>
      <c r="Q33" s="27"/>
      <c r="R33" s="27"/>
      <c r="S33" s="28"/>
    </row>
    <row r="34" spans="1:19" x14ac:dyDescent="0.35">
      <c r="A34" s="27">
        <v>33</v>
      </c>
      <c r="B34" s="27" t="s">
        <v>134</v>
      </c>
      <c r="C34" s="27" t="s">
        <v>9</v>
      </c>
      <c r="D34" s="27" t="s">
        <v>21</v>
      </c>
      <c r="E34" s="28" t="s">
        <v>125</v>
      </c>
      <c r="F34" s="28" t="s">
        <v>126</v>
      </c>
      <c r="G34" s="28" t="s">
        <v>135</v>
      </c>
      <c r="H34" s="27">
        <v>1</v>
      </c>
      <c r="I34" s="27" t="s">
        <v>59</v>
      </c>
      <c r="J34" s="27">
        <v>1.1000000000000001</v>
      </c>
      <c r="K34" s="27"/>
      <c r="L34" s="27"/>
      <c r="M34" s="27"/>
      <c r="N34" s="27"/>
      <c r="O34" s="27">
        <v>0</v>
      </c>
      <c r="P34" s="27" t="s">
        <v>14</v>
      </c>
      <c r="Q34" s="27"/>
      <c r="R34" s="27"/>
      <c r="S34" s="28"/>
    </row>
    <row r="35" spans="1:19" x14ac:dyDescent="0.35">
      <c r="A35" s="27">
        <v>34</v>
      </c>
      <c r="B35" s="27" t="s">
        <v>136</v>
      </c>
      <c r="C35" s="27" t="s">
        <v>9</v>
      </c>
      <c r="D35" s="27" t="s">
        <v>21</v>
      </c>
      <c r="E35" s="28" t="s">
        <v>125</v>
      </c>
      <c r="F35" s="28" t="s">
        <v>126</v>
      </c>
      <c r="G35" s="28" t="s">
        <v>137</v>
      </c>
      <c r="H35" s="27">
        <v>1</v>
      </c>
      <c r="I35" s="27" t="s">
        <v>59</v>
      </c>
      <c r="J35" s="27">
        <v>1.1000000000000001</v>
      </c>
      <c r="K35" s="27"/>
      <c r="L35" s="27"/>
      <c r="M35" s="27"/>
      <c r="N35" s="27"/>
      <c r="O35" s="27">
        <v>0</v>
      </c>
      <c r="P35" s="27" t="s">
        <v>14</v>
      </c>
      <c r="Q35" s="27"/>
      <c r="R35" s="27"/>
      <c r="S35" s="28"/>
    </row>
    <row r="36" spans="1:19" x14ac:dyDescent="0.35">
      <c r="A36" s="27">
        <v>35</v>
      </c>
      <c r="B36" s="27" t="s">
        <v>138</v>
      </c>
      <c r="C36" s="27" t="s">
        <v>9</v>
      </c>
      <c r="D36" s="27" t="s">
        <v>21</v>
      </c>
      <c r="E36" s="28" t="s">
        <v>125</v>
      </c>
      <c r="F36" s="28" t="s">
        <v>126</v>
      </c>
      <c r="G36" s="28" t="s">
        <v>139</v>
      </c>
      <c r="H36" s="27">
        <v>1</v>
      </c>
      <c r="I36" s="27" t="s">
        <v>59</v>
      </c>
      <c r="J36" s="27">
        <v>1.1000000000000001</v>
      </c>
      <c r="K36" s="27"/>
      <c r="L36" s="27"/>
      <c r="M36" s="27"/>
      <c r="N36" s="27"/>
      <c r="O36" s="27">
        <v>0</v>
      </c>
      <c r="P36" s="27" t="s">
        <v>14</v>
      </c>
      <c r="Q36" s="27"/>
      <c r="R36" s="27"/>
      <c r="S36" s="28"/>
    </row>
    <row r="37" spans="1:19" x14ac:dyDescent="0.35">
      <c r="A37" s="27">
        <v>36</v>
      </c>
      <c r="B37" s="27" t="s">
        <v>140</v>
      </c>
      <c r="C37" s="27" t="s">
        <v>9</v>
      </c>
      <c r="D37" s="27" t="s">
        <v>21</v>
      </c>
      <c r="E37" s="28" t="s">
        <v>125</v>
      </c>
      <c r="F37" s="28" t="s">
        <v>126</v>
      </c>
      <c r="G37" s="28" t="s">
        <v>141</v>
      </c>
      <c r="H37" s="27">
        <v>1</v>
      </c>
      <c r="I37" s="27" t="s">
        <v>59</v>
      </c>
      <c r="J37" s="27">
        <v>1.1000000000000001</v>
      </c>
      <c r="K37" s="27"/>
      <c r="L37" s="27"/>
      <c r="M37" s="27"/>
      <c r="N37" s="27"/>
      <c r="O37" s="27">
        <v>0</v>
      </c>
      <c r="P37" s="27" t="s">
        <v>14</v>
      </c>
      <c r="Q37" s="27"/>
      <c r="R37" s="27"/>
      <c r="S37" s="28"/>
    </row>
    <row r="38" spans="1:19" x14ac:dyDescent="0.35">
      <c r="A38" s="27">
        <v>37</v>
      </c>
      <c r="B38" s="27" t="s">
        <v>142</v>
      </c>
      <c r="C38" s="27" t="s">
        <v>9</v>
      </c>
      <c r="D38" s="27" t="s">
        <v>21</v>
      </c>
      <c r="E38" s="28" t="s">
        <v>125</v>
      </c>
      <c r="F38" s="28" t="s">
        <v>126</v>
      </c>
      <c r="G38" s="28" t="s">
        <v>143</v>
      </c>
      <c r="H38" s="27">
        <v>1</v>
      </c>
      <c r="I38" s="27" t="s">
        <v>59</v>
      </c>
      <c r="J38" s="27">
        <v>1.1000000000000001</v>
      </c>
      <c r="K38" s="27"/>
      <c r="L38" s="27"/>
      <c r="M38" s="27"/>
      <c r="N38" s="27"/>
      <c r="O38" s="27">
        <v>0</v>
      </c>
      <c r="P38" s="27" t="s">
        <v>14</v>
      </c>
      <c r="Q38" s="27"/>
      <c r="R38" s="27"/>
      <c r="S38" s="28"/>
    </row>
    <row r="39" spans="1:19" x14ac:dyDescent="0.35">
      <c r="A39" s="27">
        <v>38</v>
      </c>
      <c r="B39" s="27" t="s">
        <v>144</v>
      </c>
      <c r="C39" s="27" t="s">
        <v>9</v>
      </c>
      <c r="D39" s="27" t="s">
        <v>21</v>
      </c>
      <c r="E39" s="28" t="s">
        <v>125</v>
      </c>
      <c r="F39" s="28" t="s">
        <v>126</v>
      </c>
      <c r="G39" s="28" t="s">
        <v>145</v>
      </c>
      <c r="H39" s="27">
        <v>1</v>
      </c>
      <c r="I39" s="27" t="s">
        <v>59</v>
      </c>
      <c r="J39" s="27">
        <v>1.1000000000000001</v>
      </c>
      <c r="K39" s="27"/>
      <c r="L39" s="27"/>
      <c r="M39" s="27"/>
      <c r="N39" s="27"/>
      <c r="O39" s="27">
        <v>0</v>
      </c>
      <c r="P39" s="27" t="s">
        <v>14</v>
      </c>
      <c r="Q39" s="27"/>
      <c r="R39" s="27"/>
      <c r="S39" s="28"/>
    </row>
    <row r="40" spans="1:19" x14ac:dyDescent="0.35">
      <c r="A40" s="27">
        <v>39</v>
      </c>
      <c r="B40" s="27" t="s">
        <v>146</v>
      </c>
      <c r="C40" s="27" t="s">
        <v>9</v>
      </c>
      <c r="D40" s="27" t="s">
        <v>21</v>
      </c>
      <c r="E40" s="28" t="s">
        <v>125</v>
      </c>
      <c r="F40" s="28" t="s">
        <v>126</v>
      </c>
      <c r="G40" s="28" t="s">
        <v>147</v>
      </c>
      <c r="H40" s="27">
        <v>1</v>
      </c>
      <c r="I40" s="27" t="s">
        <v>59</v>
      </c>
      <c r="J40" s="27">
        <v>1.1000000000000001</v>
      </c>
      <c r="K40" s="27"/>
      <c r="L40" s="27"/>
      <c r="M40" s="27"/>
      <c r="N40" s="27"/>
      <c r="O40" s="27">
        <v>0</v>
      </c>
      <c r="P40" s="27" t="s">
        <v>14</v>
      </c>
      <c r="Q40" s="27"/>
      <c r="R40" s="27"/>
      <c r="S40" s="28"/>
    </row>
    <row r="41" spans="1:19" x14ac:dyDescent="0.35">
      <c r="A41" s="27">
        <v>40</v>
      </c>
      <c r="B41" s="27" t="s">
        <v>148</v>
      </c>
      <c r="C41" s="27" t="s">
        <v>9</v>
      </c>
      <c r="D41" s="27" t="s">
        <v>21</v>
      </c>
      <c r="E41" s="28" t="s">
        <v>125</v>
      </c>
      <c r="F41" s="28" t="s">
        <v>126</v>
      </c>
      <c r="G41" s="28" t="s">
        <v>149</v>
      </c>
      <c r="H41" s="27">
        <v>1</v>
      </c>
      <c r="I41" s="27" t="s">
        <v>59</v>
      </c>
      <c r="J41" s="27">
        <v>1.1000000000000001</v>
      </c>
      <c r="K41" s="27"/>
      <c r="L41" s="27"/>
      <c r="M41" s="27"/>
      <c r="N41" s="27"/>
      <c r="O41" s="27">
        <v>0</v>
      </c>
      <c r="P41" s="27" t="s">
        <v>14</v>
      </c>
      <c r="Q41" s="27"/>
      <c r="R41" s="27"/>
      <c r="S41" s="28"/>
    </row>
    <row r="42" spans="1:19" x14ac:dyDescent="0.35">
      <c r="A42" s="27">
        <v>41</v>
      </c>
      <c r="B42" s="27" t="s">
        <v>150</v>
      </c>
      <c r="C42" s="27" t="s">
        <v>9</v>
      </c>
      <c r="D42" s="27" t="s">
        <v>21</v>
      </c>
      <c r="E42" s="28" t="s">
        <v>125</v>
      </c>
      <c r="F42" s="28" t="s">
        <v>126</v>
      </c>
      <c r="G42" s="28" t="s">
        <v>151</v>
      </c>
      <c r="H42" s="27">
        <v>1</v>
      </c>
      <c r="I42" s="27" t="s">
        <v>59</v>
      </c>
      <c r="J42" s="27">
        <v>1.1000000000000001</v>
      </c>
      <c r="K42" s="27"/>
      <c r="L42" s="27"/>
      <c r="M42" s="27"/>
      <c r="N42" s="27"/>
      <c r="O42" s="27">
        <v>0</v>
      </c>
      <c r="P42" s="27" t="s">
        <v>14</v>
      </c>
      <c r="Q42" s="27"/>
      <c r="R42" s="27"/>
      <c r="S42" s="28"/>
    </row>
    <row r="43" spans="1:19" x14ac:dyDescent="0.35">
      <c r="A43" s="27">
        <v>42</v>
      </c>
      <c r="B43" s="27" t="s">
        <v>152</v>
      </c>
      <c r="C43" s="27" t="s">
        <v>9</v>
      </c>
      <c r="D43" s="27" t="s">
        <v>21</v>
      </c>
      <c r="E43" s="28" t="s">
        <v>125</v>
      </c>
      <c r="F43" s="28" t="s">
        <v>126</v>
      </c>
      <c r="G43" s="28" t="s">
        <v>153</v>
      </c>
      <c r="H43" s="27">
        <v>1</v>
      </c>
      <c r="I43" s="27" t="s">
        <v>59</v>
      </c>
      <c r="J43" s="27">
        <v>1.1000000000000001</v>
      </c>
      <c r="K43" s="27"/>
      <c r="L43" s="27"/>
      <c r="M43" s="27"/>
      <c r="N43" s="27"/>
      <c r="O43" s="27">
        <v>0</v>
      </c>
      <c r="P43" s="27" t="s">
        <v>14</v>
      </c>
      <c r="Q43" s="27"/>
      <c r="R43" s="27"/>
      <c r="S43" s="28"/>
    </row>
    <row r="44" spans="1:19" x14ac:dyDescent="0.35">
      <c r="A44" s="27">
        <v>43</v>
      </c>
      <c r="B44" s="27" t="s">
        <v>154</v>
      </c>
      <c r="C44" s="27" t="s">
        <v>9</v>
      </c>
      <c r="D44" s="27" t="s">
        <v>21</v>
      </c>
      <c r="E44" s="28" t="s">
        <v>125</v>
      </c>
      <c r="F44" s="28" t="s">
        <v>126</v>
      </c>
      <c r="G44" s="28" t="s">
        <v>155</v>
      </c>
      <c r="H44" s="27">
        <v>1</v>
      </c>
      <c r="I44" s="27" t="s">
        <v>59</v>
      </c>
      <c r="J44" s="27">
        <v>1.1000000000000001</v>
      </c>
      <c r="K44" s="27"/>
      <c r="L44" s="27"/>
      <c r="M44" s="27"/>
      <c r="N44" s="27"/>
      <c r="O44" s="27">
        <v>0</v>
      </c>
      <c r="P44" s="27" t="s">
        <v>14</v>
      </c>
      <c r="Q44" s="27"/>
      <c r="R44" s="27"/>
      <c r="S44" s="28"/>
    </row>
    <row r="45" spans="1:19" x14ac:dyDescent="0.35">
      <c r="A45" s="27">
        <v>44</v>
      </c>
      <c r="B45" s="27" t="s">
        <v>156</v>
      </c>
      <c r="C45" s="27" t="s">
        <v>9</v>
      </c>
      <c r="D45" s="27" t="s">
        <v>21</v>
      </c>
      <c r="E45" s="28" t="s">
        <v>125</v>
      </c>
      <c r="F45" s="28" t="s">
        <v>126</v>
      </c>
      <c r="G45" s="28" t="s">
        <v>157</v>
      </c>
      <c r="H45" s="27">
        <v>1</v>
      </c>
      <c r="I45" s="27" t="s">
        <v>59</v>
      </c>
      <c r="J45" s="27">
        <v>1.1000000000000001</v>
      </c>
      <c r="K45" s="27"/>
      <c r="L45" s="27"/>
      <c r="M45" s="27"/>
      <c r="N45" s="27"/>
      <c r="O45" s="27">
        <v>0</v>
      </c>
      <c r="P45" s="27" t="s">
        <v>14</v>
      </c>
      <c r="Q45" s="27"/>
      <c r="R45" s="27"/>
      <c r="S45" s="28"/>
    </row>
    <row r="46" spans="1:19" x14ac:dyDescent="0.35">
      <c r="A46" s="27">
        <v>45</v>
      </c>
      <c r="B46" s="27" t="s">
        <v>158</v>
      </c>
      <c r="C46" s="27" t="s">
        <v>9</v>
      </c>
      <c r="D46" s="27" t="s">
        <v>21</v>
      </c>
      <c r="E46" s="28" t="s">
        <v>125</v>
      </c>
      <c r="F46" s="28" t="s">
        <v>126</v>
      </c>
      <c r="G46" s="28" t="s">
        <v>159</v>
      </c>
      <c r="H46" s="27">
        <v>1</v>
      </c>
      <c r="I46" s="27" t="s">
        <v>59</v>
      </c>
      <c r="J46" s="27">
        <v>1.1000000000000001</v>
      </c>
      <c r="K46" s="27"/>
      <c r="L46" s="27"/>
      <c r="M46" s="27"/>
      <c r="N46" s="27"/>
      <c r="O46" s="27">
        <v>0</v>
      </c>
      <c r="P46" s="27" t="s">
        <v>14</v>
      </c>
      <c r="Q46" s="27"/>
      <c r="R46" s="27"/>
      <c r="S46" s="28"/>
    </row>
    <row r="47" spans="1:19" x14ac:dyDescent="0.35">
      <c r="A47" s="27">
        <v>46</v>
      </c>
      <c r="B47" s="27" t="s">
        <v>160</v>
      </c>
      <c r="C47" s="27" t="s">
        <v>9</v>
      </c>
      <c r="D47" s="27" t="s">
        <v>21</v>
      </c>
      <c r="E47" s="28" t="s">
        <v>125</v>
      </c>
      <c r="F47" s="28" t="s">
        <v>126</v>
      </c>
      <c r="G47" s="28" t="s">
        <v>161</v>
      </c>
      <c r="H47" s="27">
        <v>1</v>
      </c>
      <c r="I47" s="27" t="s">
        <v>59</v>
      </c>
      <c r="J47" s="27">
        <v>1.1000000000000001</v>
      </c>
      <c r="K47" s="27"/>
      <c r="L47" s="27"/>
      <c r="M47" s="27"/>
      <c r="N47" s="27"/>
      <c r="O47" s="27">
        <v>0</v>
      </c>
      <c r="P47" s="27" t="s">
        <v>14</v>
      </c>
      <c r="Q47" s="27"/>
      <c r="R47" s="27"/>
      <c r="S47" s="28"/>
    </row>
    <row r="48" spans="1:19" x14ac:dyDescent="0.35">
      <c r="A48" s="27">
        <v>47</v>
      </c>
      <c r="B48" s="27" t="s">
        <v>162</v>
      </c>
      <c r="C48" s="27" t="s">
        <v>9</v>
      </c>
      <c r="D48" s="27" t="s">
        <v>21</v>
      </c>
      <c r="E48" s="28" t="s">
        <v>125</v>
      </c>
      <c r="F48" s="28" t="s">
        <v>126</v>
      </c>
      <c r="G48" s="28" t="s">
        <v>163</v>
      </c>
      <c r="H48" s="27">
        <v>1</v>
      </c>
      <c r="I48" s="27" t="s">
        <v>59</v>
      </c>
      <c r="J48" s="27">
        <v>1.1000000000000001</v>
      </c>
      <c r="K48" s="27"/>
      <c r="L48" s="27"/>
      <c r="M48" s="27"/>
      <c r="N48" s="27"/>
      <c r="O48" s="27">
        <v>0</v>
      </c>
      <c r="P48" s="27" t="s">
        <v>14</v>
      </c>
      <c r="Q48" s="27"/>
      <c r="R48" s="27"/>
      <c r="S48" s="28"/>
    </row>
    <row r="49" spans="1:19" x14ac:dyDescent="0.35">
      <c r="A49" s="27">
        <v>48</v>
      </c>
      <c r="B49" s="27" t="s">
        <v>164</v>
      </c>
      <c r="C49" s="27" t="s">
        <v>9</v>
      </c>
      <c r="D49" s="27" t="s">
        <v>21</v>
      </c>
      <c r="E49" s="28" t="s">
        <v>125</v>
      </c>
      <c r="F49" s="28" t="s">
        <v>126</v>
      </c>
      <c r="G49" s="28" t="s">
        <v>165</v>
      </c>
      <c r="H49" s="27">
        <v>1</v>
      </c>
      <c r="I49" s="27" t="s">
        <v>59</v>
      </c>
      <c r="J49" s="27">
        <v>1.1000000000000001</v>
      </c>
      <c r="K49" s="27"/>
      <c r="L49" s="27"/>
      <c r="M49" s="27"/>
      <c r="N49" s="27"/>
      <c r="O49" s="27">
        <v>0</v>
      </c>
      <c r="P49" s="27" t="s">
        <v>14</v>
      </c>
      <c r="Q49" s="27"/>
      <c r="R49" s="27"/>
      <c r="S49" s="28"/>
    </row>
    <row r="50" spans="1:19" x14ac:dyDescent="0.35">
      <c r="A50" s="27">
        <v>49</v>
      </c>
      <c r="B50" s="27" t="s">
        <v>166</v>
      </c>
      <c r="C50" s="27" t="s">
        <v>9</v>
      </c>
      <c r="D50" s="27" t="s">
        <v>21</v>
      </c>
      <c r="E50" s="28" t="s">
        <v>125</v>
      </c>
      <c r="F50" s="28" t="s">
        <v>126</v>
      </c>
      <c r="G50" s="28" t="s">
        <v>167</v>
      </c>
      <c r="H50" s="27">
        <v>1</v>
      </c>
      <c r="I50" s="27" t="s">
        <v>59</v>
      </c>
      <c r="J50" s="27">
        <v>1.1000000000000001</v>
      </c>
      <c r="K50" s="27"/>
      <c r="L50" s="27"/>
      <c r="M50" s="27"/>
      <c r="N50" s="27"/>
      <c r="O50" s="27">
        <v>0</v>
      </c>
      <c r="P50" s="27" t="s">
        <v>14</v>
      </c>
      <c r="Q50" s="27"/>
      <c r="R50" s="27"/>
      <c r="S50" s="28"/>
    </row>
    <row r="51" spans="1:19" x14ac:dyDescent="0.35">
      <c r="A51" s="27">
        <v>50</v>
      </c>
      <c r="B51" s="27" t="s">
        <v>168</v>
      </c>
      <c r="C51" s="27" t="s">
        <v>9</v>
      </c>
      <c r="D51" s="27" t="s">
        <v>21</v>
      </c>
      <c r="E51" s="28" t="s">
        <v>125</v>
      </c>
      <c r="F51" s="28" t="s">
        <v>126</v>
      </c>
      <c r="G51" s="28" t="s">
        <v>169</v>
      </c>
      <c r="H51" s="27">
        <v>1</v>
      </c>
      <c r="I51" s="27" t="s">
        <v>59</v>
      </c>
      <c r="J51" s="27">
        <v>1.1000000000000001</v>
      </c>
      <c r="K51" s="27"/>
      <c r="L51" s="27"/>
      <c r="M51" s="27"/>
      <c r="N51" s="27"/>
      <c r="O51" s="27">
        <v>0</v>
      </c>
      <c r="P51" s="27" t="s">
        <v>14</v>
      </c>
      <c r="Q51" s="27"/>
      <c r="R51" s="27"/>
      <c r="S51" s="28"/>
    </row>
    <row r="52" spans="1:19" x14ac:dyDescent="0.35">
      <c r="A52" s="27">
        <v>51</v>
      </c>
      <c r="B52" s="27" t="s">
        <v>170</v>
      </c>
      <c r="C52" s="27" t="s">
        <v>9</v>
      </c>
      <c r="D52" s="27" t="s">
        <v>21</v>
      </c>
      <c r="E52" s="28" t="s">
        <v>125</v>
      </c>
      <c r="F52" s="28" t="s">
        <v>126</v>
      </c>
      <c r="G52" s="28" t="s">
        <v>171</v>
      </c>
      <c r="H52" s="27">
        <v>1</v>
      </c>
      <c r="I52" s="27" t="s">
        <v>59</v>
      </c>
      <c r="J52" s="27">
        <v>1.1000000000000001</v>
      </c>
      <c r="K52" s="27"/>
      <c r="L52" s="27"/>
      <c r="M52" s="27"/>
      <c r="N52" s="27"/>
      <c r="O52" s="27">
        <v>0</v>
      </c>
      <c r="P52" s="27" t="s">
        <v>14</v>
      </c>
      <c r="Q52" s="27"/>
      <c r="R52" s="27"/>
      <c r="S52" s="28"/>
    </row>
    <row r="53" spans="1:19" x14ac:dyDescent="0.35">
      <c r="A53" s="27">
        <v>52</v>
      </c>
      <c r="B53" s="27" t="s">
        <v>172</v>
      </c>
      <c r="C53" s="27" t="s">
        <v>9</v>
      </c>
      <c r="D53" s="27" t="s">
        <v>21</v>
      </c>
      <c r="E53" s="28" t="s">
        <v>125</v>
      </c>
      <c r="F53" s="28" t="s">
        <v>126</v>
      </c>
      <c r="G53" s="28" t="s">
        <v>173</v>
      </c>
      <c r="H53" s="27">
        <v>1</v>
      </c>
      <c r="I53" s="27" t="s">
        <v>59</v>
      </c>
      <c r="J53" s="27">
        <v>1.1000000000000001</v>
      </c>
      <c r="K53" s="27"/>
      <c r="L53" s="27"/>
      <c r="M53" s="27"/>
      <c r="N53" s="27"/>
      <c r="O53" s="27">
        <v>0</v>
      </c>
      <c r="P53" s="27" t="s">
        <v>14</v>
      </c>
      <c r="Q53" s="27"/>
      <c r="R53" s="27"/>
      <c r="S53" s="28"/>
    </row>
    <row r="54" spans="1:19" x14ac:dyDescent="0.35">
      <c r="A54" s="27">
        <v>53</v>
      </c>
      <c r="B54" s="27" t="s">
        <v>174</v>
      </c>
      <c r="C54" s="27" t="s">
        <v>9</v>
      </c>
      <c r="D54" s="27" t="s">
        <v>21</v>
      </c>
      <c r="E54" s="28" t="s">
        <v>125</v>
      </c>
      <c r="F54" s="28" t="s">
        <v>126</v>
      </c>
      <c r="G54" s="28" t="s">
        <v>175</v>
      </c>
      <c r="H54" s="27">
        <v>1</v>
      </c>
      <c r="I54" s="27" t="s">
        <v>59</v>
      </c>
      <c r="J54" s="27">
        <v>1.1000000000000001</v>
      </c>
      <c r="K54" s="27"/>
      <c r="L54" s="27"/>
      <c r="M54" s="27"/>
      <c r="N54" s="27"/>
      <c r="O54" s="27">
        <v>0</v>
      </c>
      <c r="P54" s="27" t="s">
        <v>14</v>
      </c>
      <c r="Q54" s="27"/>
      <c r="R54" s="27"/>
      <c r="S54" s="28"/>
    </row>
    <row r="55" spans="1:19" x14ac:dyDescent="0.35">
      <c r="A55" s="27">
        <v>54</v>
      </c>
      <c r="B55" s="27" t="s">
        <v>176</v>
      </c>
      <c r="C55" s="27" t="s">
        <v>9</v>
      </c>
      <c r="D55" s="27" t="s">
        <v>21</v>
      </c>
      <c r="E55" s="28" t="s">
        <v>125</v>
      </c>
      <c r="F55" s="28" t="s">
        <v>126</v>
      </c>
      <c r="G55" s="28" t="s">
        <v>177</v>
      </c>
      <c r="H55" s="27">
        <v>1</v>
      </c>
      <c r="I55" s="27" t="s">
        <v>59</v>
      </c>
      <c r="J55" s="27">
        <v>1.1000000000000001</v>
      </c>
      <c r="K55" s="27"/>
      <c r="L55" s="27"/>
      <c r="M55" s="27"/>
      <c r="N55" s="27"/>
      <c r="O55" s="27">
        <v>0</v>
      </c>
      <c r="P55" s="27" t="s">
        <v>14</v>
      </c>
      <c r="Q55" s="27"/>
      <c r="R55" s="27"/>
      <c r="S55" s="28"/>
    </row>
    <row r="56" spans="1:19" x14ac:dyDescent="0.35">
      <c r="A56" s="27">
        <v>55</v>
      </c>
      <c r="B56" s="27" t="s">
        <v>178</v>
      </c>
      <c r="C56" s="27" t="s">
        <v>9</v>
      </c>
      <c r="D56" s="27" t="s">
        <v>21</v>
      </c>
      <c r="E56" s="28" t="s">
        <v>125</v>
      </c>
      <c r="F56" s="28" t="s">
        <v>126</v>
      </c>
      <c r="G56" s="28" t="s">
        <v>179</v>
      </c>
      <c r="H56" s="27">
        <v>1</v>
      </c>
      <c r="I56" s="27" t="s">
        <v>59</v>
      </c>
      <c r="J56" s="27">
        <v>1.1000000000000001</v>
      </c>
      <c r="K56" s="27"/>
      <c r="L56" s="27"/>
      <c r="M56" s="27"/>
      <c r="N56" s="27"/>
      <c r="O56" s="27">
        <v>0</v>
      </c>
      <c r="P56" s="27" t="s">
        <v>14</v>
      </c>
      <c r="Q56" s="27"/>
      <c r="R56" s="27"/>
      <c r="S56" s="28"/>
    </row>
    <row r="57" spans="1:19" x14ac:dyDescent="0.35">
      <c r="A57" s="29">
        <v>56</v>
      </c>
      <c r="B57" s="29" t="s">
        <v>180</v>
      </c>
      <c r="C57" s="29" t="s">
        <v>10</v>
      </c>
      <c r="D57" s="29" t="s">
        <v>21</v>
      </c>
      <c r="E57" s="30" t="s">
        <v>181</v>
      </c>
      <c r="F57" s="30" t="s">
        <v>62</v>
      </c>
      <c r="G57" s="30" t="s">
        <v>182</v>
      </c>
      <c r="H57" s="29">
        <v>12</v>
      </c>
      <c r="I57" s="29" t="s">
        <v>183</v>
      </c>
      <c r="J57" s="29">
        <v>1.6</v>
      </c>
      <c r="K57" s="29"/>
      <c r="L57" s="29"/>
      <c r="M57" s="29"/>
      <c r="N57" s="29"/>
      <c r="O57" s="29">
        <v>0</v>
      </c>
      <c r="P57" s="29" t="s">
        <v>14</v>
      </c>
      <c r="Q57" s="29"/>
      <c r="R57" s="29"/>
      <c r="S57" s="30"/>
    </row>
    <row r="58" spans="1:19" ht="29" x14ac:dyDescent="0.35">
      <c r="A58" s="29">
        <v>57</v>
      </c>
      <c r="B58" s="29" t="s">
        <v>184</v>
      </c>
      <c r="C58" s="29" t="s">
        <v>10</v>
      </c>
      <c r="D58" s="29" t="s">
        <v>21</v>
      </c>
      <c r="E58" s="30" t="s">
        <v>185</v>
      </c>
      <c r="F58" s="30" t="s">
        <v>186</v>
      </c>
      <c r="G58" s="30" t="s">
        <v>187</v>
      </c>
      <c r="H58" s="29">
        <v>1</v>
      </c>
      <c r="I58" s="29" t="s">
        <v>188</v>
      </c>
      <c r="J58" s="29">
        <v>1.2</v>
      </c>
      <c r="K58" s="29"/>
      <c r="L58" s="29"/>
      <c r="M58" s="29"/>
      <c r="N58" s="29"/>
      <c r="O58" s="29">
        <v>0</v>
      </c>
      <c r="P58" s="29" t="s">
        <v>14</v>
      </c>
      <c r="Q58" s="29"/>
      <c r="R58" s="29"/>
      <c r="S58" s="30"/>
    </row>
    <row r="59" spans="1:19" x14ac:dyDescent="0.35">
      <c r="A59" s="29">
        <v>58</v>
      </c>
      <c r="B59" s="29" t="s">
        <v>189</v>
      </c>
      <c r="C59" s="29" t="s">
        <v>11</v>
      </c>
      <c r="D59" s="29" t="s">
        <v>22</v>
      </c>
      <c r="E59" s="30" t="s">
        <v>190</v>
      </c>
      <c r="F59" s="30" t="s">
        <v>191</v>
      </c>
      <c r="G59" s="30" t="s">
        <v>192</v>
      </c>
      <c r="H59" s="29">
        <v>6</v>
      </c>
      <c r="I59" s="29" t="s">
        <v>193</v>
      </c>
      <c r="J59" s="29">
        <v>1</v>
      </c>
      <c r="K59" s="29"/>
      <c r="L59" s="29"/>
      <c r="M59" s="29"/>
      <c r="N59" s="29"/>
      <c r="O59" s="29">
        <v>0</v>
      </c>
      <c r="P59" s="29" t="s">
        <v>14</v>
      </c>
      <c r="Q59" s="29"/>
      <c r="R59" s="29"/>
      <c r="S59" s="30"/>
    </row>
    <row r="60" spans="1:19" x14ac:dyDescent="0.35">
      <c r="A60" s="31">
        <v>59</v>
      </c>
      <c r="B60" s="31" t="s">
        <v>194</v>
      </c>
      <c r="C60" s="31" t="s">
        <v>11</v>
      </c>
      <c r="D60" s="31" t="s">
        <v>22</v>
      </c>
      <c r="E60" s="32" t="s">
        <v>195</v>
      </c>
      <c r="F60" s="32" t="s">
        <v>196</v>
      </c>
      <c r="G60" s="32" t="s">
        <v>197</v>
      </c>
      <c r="H60" s="31">
        <v>6</v>
      </c>
      <c r="I60" s="31" t="s">
        <v>193</v>
      </c>
      <c r="J60" s="31">
        <v>1.2</v>
      </c>
      <c r="K60" s="31"/>
      <c r="L60" s="31"/>
      <c r="M60" s="31"/>
      <c r="N60" s="31"/>
      <c r="O60" s="31">
        <v>0</v>
      </c>
      <c r="P60" s="31" t="s">
        <v>14</v>
      </c>
      <c r="Q60" s="31"/>
      <c r="R60" s="31"/>
      <c r="S60" s="32"/>
    </row>
    <row r="61" spans="1:19" ht="29" x14ac:dyDescent="0.35">
      <c r="A61" s="31">
        <v>60</v>
      </c>
      <c r="B61" s="31" t="s">
        <v>198</v>
      </c>
      <c r="C61" s="31" t="s">
        <v>11</v>
      </c>
      <c r="D61" s="31" t="s">
        <v>23</v>
      </c>
      <c r="E61" s="32" t="s">
        <v>199</v>
      </c>
      <c r="F61" s="32" t="s">
        <v>200</v>
      </c>
      <c r="G61" s="32" t="s">
        <v>201</v>
      </c>
      <c r="H61" s="31">
        <v>2</v>
      </c>
      <c r="I61" s="31" t="s">
        <v>202</v>
      </c>
      <c r="J61" s="31">
        <v>1.6</v>
      </c>
      <c r="K61" s="31"/>
      <c r="L61" s="31"/>
      <c r="M61" s="31"/>
      <c r="N61" s="31"/>
      <c r="O61" s="31">
        <v>0</v>
      </c>
      <c r="P61" s="31" t="s">
        <v>14</v>
      </c>
      <c r="Q61" s="31"/>
      <c r="R61" s="31"/>
      <c r="S61" s="32"/>
    </row>
  </sheetData>
  <autoFilter ref="A1:S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I61"/>
  <sheetViews>
    <sheetView workbookViewId="0">
      <pane xSplit="9" ySplit="1" topLeftCell="J20" activePane="bottomRight" state="frozen"/>
      <selection pane="topRight"/>
      <selection pane="bottomLeft"/>
      <selection pane="bottomRight" activeCell="C8" sqref="C8"/>
    </sheetView>
  </sheetViews>
  <sheetFormatPr baseColWidth="10" defaultColWidth="8.7265625" defaultRowHeight="14.5" x14ac:dyDescent="0.35"/>
  <cols>
    <col min="1" max="1" width="8" customWidth="1"/>
    <col min="2" max="2" width="10" customWidth="1"/>
    <col min="3" max="3" width="22" customWidth="1"/>
    <col min="4" max="4" width="12" customWidth="1"/>
    <col min="5" max="5" width="46" customWidth="1"/>
    <col min="6" max="7" width="14" customWidth="1"/>
    <col min="8" max="8" width="12" customWidth="1"/>
    <col min="9" max="9" width="14" customWidth="1"/>
    <col min="10" max="87" width="3" customWidth="1"/>
  </cols>
  <sheetData>
    <row r="1" spans="1:87" x14ac:dyDescent="0.35">
      <c r="A1" s="7" t="s">
        <v>24</v>
      </c>
      <c r="B1" s="7" t="s">
        <v>25</v>
      </c>
      <c r="C1" s="7" t="s">
        <v>26</v>
      </c>
      <c r="D1" s="7" t="s">
        <v>27</v>
      </c>
      <c r="E1" s="8" t="s">
        <v>203</v>
      </c>
      <c r="F1" s="7" t="s">
        <v>204</v>
      </c>
      <c r="G1" s="7" t="s">
        <v>205</v>
      </c>
      <c r="H1" s="7" t="s">
        <v>206</v>
      </c>
      <c r="I1" s="7" t="s">
        <v>207</v>
      </c>
      <c r="J1" s="9">
        <v>46041</v>
      </c>
      <c r="K1" s="9">
        <v>46048</v>
      </c>
      <c r="L1" s="9">
        <v>46055</v>
      </c>
      <c r="M1" s="9">
        <v>46062</v>
      </c>
      <c r="N1" s="9">
        <v>46069</v>
      </c>
      <c r="O1" s="9">
        <v>46076</v>
      </c>
      <c r="P1" s="9">
        <v>46083</v>
      </c>
      <c r="Q1" s="9">
        <v>46090</v>
      </c>
      <c r="R1" s="9">
        <v>46097</v>
      </c>
      <c r="S1" s="9">
        <v>46104</v>
      </c>
      <c r="T1" s="9">
        <v>46111</v>
      </c>
      <c r="U1" s="9">
        <v>46118</v>
      </c>
      <c r="V1" s="9">
        <v>46125</v>
      </c>
      <c r="W1" s="9">
        <v>46132</v>
      </c>
      <c r="X1" s="9">
        <v>46139</v>
      </c>
      <c r="Y1" s="9">
        <v>46146</v>
      </c>
      <c r="Z1" s="9">
        <v>46153</v>
      </c>
      <c r="AA1" s="9">
        <v>46160</v>
      </c>
      <c r="AB1" s="9">
        <v>46167</v>
      </c>
      <c r="AC1" s="9">
        <v>46174</v>
      </c>
      <c r="AD1" s="9">
        <v>46181</v>
      </c>
      <c r="AE1" s="9">
        <v>46188</v>
      </c>
      <c r="AF1" s="9">
        <v>46195</v>
      </c>
      <c r="AG1" s="9">
        <v>46202</v>
      </c>
      <c r="AH1" s="9">
        <v>46209</v>
      </c>
      <c r="AI1" s="9">
        <v>46216</v>
      </c>
      <c r="AJ1" s="9">
        <v>46223</v>
      </c>
      <c r="AK1" s="9">
        <v>46230</v>
      </c>
      <c r="AL1" s="9">
        <v>46237</v>
      </c>
      <c r="AM1" s="9">
        <v>46244</v>
      </c>
      <c r="AN1" s="9">
        <v>46251</v>
      </c>
      <c r="AO1" s="9">
        <v>46258</v>
      </c>
      <c r="AP1" s="9">
        <v>46265</v>
      </c>
      <c r="AQ1" s="9">
        <v>46272</v>
      </c>
      <c r="AR1" s="9">
        <v>46279</v>
      </c>
      <c r="AS1" s="9">
        <v>46286</v>
      </c>
      <c r="AT1" s="9">
        <v>46293</v>
      </c>
      <c r="AU1" s="9">
        <v>46300</v>
      </c>
      <c r="AV1" s="9">
        <v>46307</v>
      </c>
      <c r="AW1" s="9">
        <v>46314</v>
      </c>
      <c r="AX1" s="9">
        <v>46321</v>
      </c>
      <c r="AY1" s="9">
        <v>46328</v>
      </c>
      <c r="AZ1" s="9">
        <v>46335</v>
      </c>
      <c r="BA1" s="9">
        <v>46342</v>
      </c>
      <c r="BB1" s="9">
        <v>46349</v>
      </c>
      <c r="BC1" s="9">
        <v>46356</v>
      </c>
      <c r="BD1" s="9">
        <v>46363</v>
      </c>
      <c r="BE1" s="9">
        <v>46370</v>
      </c>
      <c r="BF1" s="9">
        <v>46377</v>
      </c>
      <c r="BG1" s="9">
        <v>46384</v>
      </c>
      <c r="BH1" s="9">
        <v>46391</v>
      </c>
      <c r="BI1" s="9">
        <v>46398</v>
      </c>
      <c r="BJ1" s="9">
        <v>46405</v>
      </c>
      <c r="BK1" s="9">
        <v>46412</v>
      </c>
      <c r="BL1" s="9">
        <v>46419</v>
      </c>
      <c r="BM1" s="9">
        <v>46426</v>
      </c>
      <c r="BN1" s="9">
        <v>46433</v>
      </c>
      <c r="BO1" s="9">
        <v>46440</v>
      </c>
      <c r="BP1" s="9">
        <v>46447</v>
      </c>
      <c r="BQ1" s="9">
        <v>46454</v>
      </c>
      <c r="BR1" s="9">
        <v>46461</v>
      </c>
      <c r="BS1" s="9">
        <v>46468</v>
      </c>
      <c r="BT1" s="9">
        <v>46475</v>
      </c>
      <c r="BU1" s="9">
        <v>46482</v>
      </c>
      <c r="BV1" s="9">
        <v>46489</v>
      </c>
      <c r="BW1" s="9">
        <v>46496</v>
      </c>
      <c r="BX1" s="9">
        <v>46503</v>
      </c>
      <c r="BY1" s="9">
        <v>46510</v>
      </c>
      <c r="BZ1" s="9">
        <v>46517</v>
      </c>
      <c r="CA1" s="9">
        <v>46524</v>
      </c>
      <c r="CB1" s="9">
        <v>46531</v>
      </c>
      <c r="CC1" s="9">
        <v>46538</v>
      </c>
      <c r="CD1" s="9">
        <v>46545</v>
      </c>
      <c r="CE1" s="9">
        <v>46552</v>
      </c>
      <c r="CF1" s="9">
        <v>46559</v>
      </c>
      <c r="CG1" s="9">
        <v>46566</v>
      </c>
      <c r="CH1" s="9">
        <v>46573</v>
      </c>
      <c r="CI1" s="9">
        <v>46580</v>
      </c>
    </row>
    <row r="2" spans="1:87" x14ac:dyDescent="0.35">
      <c r="A2" s="10">
        <v>1</v>
      </c>
      <c r="B2" s="10" t="s">
        <v>43</v>
      </c>
      <c r="C2" s="10" t="s">
        <v>5</v>
      </c>
      <c r="D2" s="10" t="s">
        <v>19</v>
      </c>
      <c r="E2" s="11" t="s">
        <v>44</v>
      </c>
      <c r="F2" s="12">
        <v>46041</v>
      </c>
      <c r="G2" s="12">
        <v>46111</v>
      </c>
      <c r="H2" s="10">
        <v>10</v>
      </c>
      <c r="I2" s="10">
        <f>INDEX(WBS_Taches!O:O,MATCH(A2,WBS_Taches!A:A,0))</f>
        <v>0</v>
      </c>
    </row>
    <row r="3" spans="1:87" x14ac:dyDescent="0.35">
      <c r="A3" s="10">
        <v>2</v>
      </c>
      <c r="B3" s="10" t="s">
        <v>47</v>
      </c>
      <c r="C3" s="10" t="s">
        <v>6</v>
      </c>
      <c r="D3" s="10" t="s">
        <v>19</v>
      </c>
      <c r="E3" s="11" t="s">
        <v>48</v>
      </c>
      <c r="F3" s="12">
        <v>46041</v>
      </c>
      <c r="G3" s="12">
        <v>46111</v>
      </c>
      <c r="H3" s="10">
        <v>10</v>
      </c>
      <c r="I3" s="10">
        <f>INDEX(WBS_Taches!O:O,MATCH(A3,WBS_Taches!A:A,0))</f>
        <v>0</v>
      </c>
    </row>
    <row r="4" spans="1:87" ht="29" x14ac:dyDescent="0.35">
      <c r="A4" s="10">
        <v>3</v>
      </c>
      <c r="B4" s="10" t="s">
        <v>52</v>
      </c>
      <c r="C4" s="10" t="s">
        <v>7</v>
      </c>
      <c r="D4" s="10" t="s">
        <v>19</v>
      </c>
      <c r="E4" s="11" t="s">
        <v>53</v>
      </c>
      <c r="F4" s="12">
        <v>46041</v>
      </c>
      <c r="G4" s="12">
        <v>46111</v>
      </c>
      <c r="H4" s="10">
        <v>10</v>
      </c>
      <c r="I4" s="10">
        <f>INDEX(WBS_Taches!O:O,MATCH(A4,WBS_Taches!A:A,0))</f>
        <v>0</v>
      </c>
    </row>
    <row r="5" spans="1:87" x14ac:dyDescent="0.35">
      <c r="A5" s="10">
        <v>4</v>
      </c>
      <c r="B5" s="10" t="s">
        <v>56</v>
      </c>
      <c r="C5" s="10" t="s">
        <v>9</v>
      </c>
      <c r="D5" s="10" t="s">
        <v>19</v>
      </c>
      <c r="E5" s="11" t="s">
        <v>57</v>
      </c>
      <c r="F5" s="12">
        <v>46041</v>
      </c>
      <c r="G5" s="12">
        <v>46111</v>
      </c>
      <c r="H5" s="10">
        <v>10</v>
      </c>
      <c r="I5" s="10">
        <f>INDEX(WBS_Taches!O:O,MATCH(A5,WBS_Taches!A:A,0))</f>
        <v>0</v>
      </c>
    </row>
    <row r="6" spans="1:87" x14ac:dyDescent="0.35">
      <c r="A6" s="10">
        <v>5</v>
      </c>
      <c r="B6" s="10" t="s">
        <v>60</v>
      </c>
      <c r="C6" s="10" t="s">
        <v>10</v>
      </c>
      <c r="D6" s="10" t="s">
        <v>19</v>
      </c>
      <c r="E6" s="11" t="s">
        <v>61</v>
      </c>
      <c r="F6" s="12">
        <v>46041</v>
      </c>
      <c r="G6" s="12">
        <v>46111</v>
      </c>
      <c r="H6" s="10">
        <v>10</v>
      </c>
      <c r="I6" s="10">
        <f>INDEX(WBS_Taches!O:O,MATCH(A6,WBS_Taches!A:A,0))</f>
        <v>0</v>
      </c>
    </row>
    <row r="7" spans="1:87" x14ac:dyDescent="0.35">
      <c r="A7" s="10">
        <v>6</v>
      </c>
      <c r="B7" s="10" t="s">
        <v>65</v>
      </c>
      <c r="C7" s="10" t="s">
        <v>5</v>
      </c>
      <c r="D7" s="10" t="s">
        <v>21</v>
      </c>
      <c r="E7" s="11" t="s">
        <v>66</v>
      </c>
      <c r="F7" s="12">
        <v>46097</v>
      </c>
      <c r="G7" s="12">
        <v>46349</v>
      </c>
      <c r="H7" s="10">
        <v>36</v>
      </c>
      <c r="I7" s="10">
        <f>INDEX(WBS_Taches!O:O,MATCH(A7,WBS_Taches!A:A,0))</f>
        <v>0</v>
      </c>
    </row>
    <row r="8" spans="1:87" x14ac:dyDescent="0.35">
      <c r="A8" s="10">
        <v>7</v>
      </c>
      <c r="B8" s="10" t="s">
        <v>68</v>
      </c>
      <c r="C8" s="10" t="s">
        <v>4</v>
      </c>
      <c r="D8" s="10" t="s">
        <v>21</v>
      </c>
      <c r="E8" s="11" t="s">
        <v>69</v>
      </c>
      <c r="F8" s="12">
        <v>46125</v>
      </c>
      <c r="G8" s="12">
        <v>46405</v>
      </c>
      <c r="H8" s="10">
        <v>40</v>
      </c>
      <c r="I8" s="10">
        <f>INDEX(WBS_Taches!O:O,MATCH(A8,WBS_Taches!A:A,0))</f>
        <v>0</v>
      </c>
    </row>
    <row r="9" spans="1:87" x14ac:dyDescent="0.35">
      <c r="A9" s="10">
        <v>8</v>
      </c>
      <c r="B9" s="10" t="s">
        <v>72</v>
      </c>
      <c r="C9" s="10" t="s">
        <v>4</v>
      </c>
      <c r="D9" s="10" t="s">
        <v>21</v>
      </c>
      <c r="E9" s="11" t="s">
        <v>73</v>
      </c>
      <c r="F9" s="12">
        <v>46125</v>
      </c>
      <c r="G9" s="12">
        <v>46405</v>
      </c>
      <c r="H9" s="10">
        <v>40</v>
      </c>
      <c r="I9" s="10">
        <f>INDEX(WBS_Taches!O:O,MATCH(A9,WBS_Taches!A:A,0))</f>
        <v>0</v>
      </c>
    </row>
    <row r="10" spans="1:87" x14ac:dyDescent="0.35">
      <c r="A10" s="10">
        <v>9</v>
      </c>
      <c r="B10" s="10" t="s">
        <v>75</v>
      </c>
      <c r="C10" s="10" t="s">
        <v>4</v>
      </c>
      <c r="D10" s="10" t="s">
        <v>21</v>
      </c>
      <c r="E10" s="11" t="s">
        <v>76</v>
      </c>
      <c r="F10" s="12">
        <v>46125</v>
      </c>
      <c r="G10" s="12">
        <v>46405</v>
      </c>
      <c r="H10" s="10">
        <v>40</v>
      </c>
      <c r="I10" s="10">
        <f>INDEX(WBS_Taches!O:O,MATCH(A10,WBS_Taches!A:A,0))</f>
        <v>0</v>
      </c>
    </row>
    <row r="11" spans="1:87" x14ac:dyDescent="0.35">
      <c r="A11" s="10">
        <v>10</v>
      </c>
      <c r="B11" s="10" t="s">
        <v>78</v>
      </c>
      <c r="C11" s="10" t="s">
        <v>4</v>
      </c>
      <c r="D11" s="10" t="s">
        <v>21</v>
      </c>
      <c r="E11" s="11" t="s">
        <v>79</v>
      </c>
      <c r="F11" s="12">
        <v>46125</v>
      </c>
      <c r="G11" s="12">
        <v>46405</v>
      </c>
      <c r="H11" s="10">
        <v>40</v>
      </c>
      <c r="I11" s="10">
        <f>INDEX(WBS_Taches!O:O,MATCH(A11,WBS_Taches!A:A,0))</f>
        <v>0</v>
      </c>
    </row>
    <row r="12" spans="1:87" x14ac:dyDescent="0.35">
      <c r="A12" s="10">
        <v>11</v>
      </c>
      <c r="B12" s="10" t="s">
        <v>81</v>
      </c>
      <c r="C12" s="10" t="s">
        <v>4</v>
      </c>
      <c r="D12" s="10" t="s">
        <v>21</v>
      </c>
      <c r="E12" s="11" t="s">
        <v>82</v>
      </c>
      <c r="F12" s="12">
        <v>46125</v>
      </c>
      <c r="G12" s="12">
        <v>46405</v>
      </c>
      <c r="H12" s="10">
        <v>40</v>
      </c>
      <c r="I12" s="10">
        <f>INDEX(WBS_Taches!O:O,MATCH(A12,WBS_Taches!A:A,0))</f>
        <v>0</v>
      </c>
    </row>
    <row r="13" spans="1:87" ht="29" x14ac:dyDescent="0.35">
      <c r="A13" s="10">
        <v>12</v>
      </c>
      <c r="B13" s="10" t="s">
        <v>84</v>
      </c>
      <c r="C13" s="10" t="s">
        <v>6</v>
      </c>
      <c r="D13" s="10" t="s">
        <v>21</v>
      </c>
      <c r="E13" s="11" t="s">
        <v>85</v>
      </c>
      <c r="F13" s="12">
        <v>46153</v>
      </c>
      <c r="G13" s="12">
        <v>46405</v>
      </c>
      <c r="H13" s="10">
        <v>36</v>
      </c>
      <c r="I13" s="10">
        <f>INDEX(WBS_Taches!O:O,MATCH(A13,WBS_Taches!A:A,0))</f>
        <v>0</v>
      </c>
    </row>
    <row r="14" spans="1:87" ht="29" x14ac:dyDescent="0.35">
      <c r="A14" s="10">
        <v>13</v>
      </c>
      <c r="B14" s="10" t="s">
        <v>89</v>
      </c>
      <c r="C14" s="10" t="s">
        <v>6</v>
      </c>
      <c r="D14" s="10" t="s">
        <v>21</v>
      </c>
      <c r="E14" s="11" t="s">
        <v>85</v>
      </c>
      <c r="F14" s="12">
        <v>46153</v>
      </c>
      <c r="G14" s="12">
        <v>46405</v>
      </c>
      <c r="H14" s="10">
        <v>36</v>
      </c>
      <c r="I14" s="10">
        <f>INDEX(WBS_Taches!O:O,MATCH(A14,WBS_Taches!A:A,0))</f>
        <v>0</v>
      </c>
    </row>
    <row r="15" spans="1:87" ht="29" x14ac:dyDescent="0.35">
      <c r="A15" s="10">
        <v>14</v>
      </c>
      <c r="B15" s="10" t="s">
        <v>91</v>
      </c>
      <c r="C15" s="10" t="s">
        <v>6</v>
      </c>
      <c r="D15" s="10" t="s">
        <v>21</v>
      </c>
      <c r="E15" s="11" t="s">
        <v>85</v>
      </c>
      <c r="F15" s="12">
        <v>46153</v>
      </c>
      <c r="G15" s="12">
        <v>46405</v>
      </c>
      <c r="H15" s="10">
        <v>36</v>
      </c>
      <c r="I15" s="10">
        <f>INDEX(WBS_Taches!O:O,MATCH(A15,WBS_Taches!A:A,0))</f>
        <v>0</v>
      </c>
    </row>
    <row r="16" spans="1:87" ht="29" x14ac:dyDescent="0.35">
      <c r="A16" s="10">
        <v>15</v>
      </c>
      <c r="B16" s="10" t="s">
        <v>93</v>
      </c>
      <c r="C16" s="10" t="s">
        <v>6</v>
      </c>
      <c r="D16" s="10" t="s">
        <v>21</v>
      </c>
      <c r="E16" s="11" t="s">
        <v>85</v>
      </c>
      <c r="F16" s="12">
        <v>46153</v>
      </c>
      <c r="G16" s="12">
        <v>46405</v>
      </c>
      <c r="H16" s="10">
        <v>36</v>
      </c>
      <c r="I16" s="10">
        <f>INDEX(WBS_Taches!O:O,MATCH(A16,WBS_Taches!A:A,0))</f>
        <v>0</v>
      </c>
    </row>
    <row r="17" spans="1:9" ht="29" x14ac:dyDescent="0.35">
      <c r="A17" s="10">
        <v>16</v>
      </c>
      <c r="B17" s="10" t="s">
        <v>95</v>
      </c>
      <c r="C17" s="10" t="s">
        <v>6</v>
      </c>
      <c r="D17" s="10" t="s">
        <v>21</v>
      </c>
      <c r="E17" s="11" t="s">
        <v>85</v>
      </c>
      <c r="F17" s="12">
        <v>46153</v>
      </c>
      <c r="G17" s="12">
        <v>46405</v>
      </c>
      <c r="H17" s="10">
        <v>36</v>
      </c>
      <c r="I17" s="10">
        <f>INDEX(WBS_Taches!O:O,MATCH(A17,WBS_Taches!A:A,0))</f>
        <v>0</v>
      </c>
    </row>
    <row r="18" spans="1:9" ht="29" x14ac:dyDescent="0.35">
      <c r="A18" s="10">
        <v>17</v>
      </c>
      <c r="B18" s="10" t="s">
        <v>97</v>
      </c>
      <c r="C18" s="10" t="s">
        <v>7</v>
      </c>
      <c r="D18" s="10" t="s">
        <v>21</v>
      </c>
      <c r="E18" s="11" t="s">
        <v>98</v>
      </c>
      <c r="F18" s="12">
        <v>46167</v>
      </c>
      <c r="G18" s="12">
        <v>46419</v>
      </c>
      <c r="H18" s="10">
        <v>36</v>
      </c>
      <c r="I18" s="10">
        <f>INDEX(WBS_Taches!O:O,MATCH(A18,WBS_Taches!A:A,0))</f>
        <v>0</v>
      </c>
    </row>
    <row r="19" spans="1:9" ht="29" x14ac:dyDescent="0.35">
      <c r="A19" s="10">
        <v>18</v>
      </c>
      <c r="B19" s="10" t="s">
        <v>100</v>
      </c>
      <c r="C19" s="10" t="s">
        <v>7</v>
      </c>
      <c r="D19" s="10" t="s">
        <v>21</v>
      </c>
      <c r="E19" s="11" t="s">
        <v>98</v>
      </c>
      <c r="F19" s="12">
        <v>46167</v>
      </c>
      <c r="G19" s="12">
        <v>46419</v>
      </c>
      <c r="H19" s="10">
        <v>36</v>
      </c>
      <c r="I19" s="10">
        <f>INDEX(WBS_Taches!O:O,MATCH(A19,WBS_Taches!A:A,0))</f>
        <v>0</v>
      </c>
    </row>
    <row r="20" spans="1:9" ht="29" x14ac:dyDescent="0.35">
      <c r="A20" s="10">
        <v>19</v>
      </c>
      <c r="B20" s="10" t="s">
        <v>102</v>
      </c>
      <c r="C20" s="10" t="s">
        <v>7</v>
      </c>
      <c r="D20" s="10" t="s">
        <v>21</v>
      </c>
      <c r="E20" s="11" t="s">
        <v>98</v>
      </c>
      <c r="F20" s="12">
        <v>46167</v>
      </c>
      <c r="G20" s="12">
        <v>46419</v>
      </c>
      <c r="H20" s="10">
        <v>36</v>
      </c>
      <c r="I20" s="10">
        <f>INDEX(WBS_Taches!O:O,MATCH(A20,WBS_Taches!A:A,0))</f>
        <v>0</v>
      </c>
    </row>
    <row r="21" spans="1:9" ht="29" x14ac:dyDescent="0.35">
      <c r="A21" s="10">
        <v>20</v>
      </c>
      <c r="B21" s="10" t="s">
        <v>104</v>
      </c>
      <c r="C21" s="10" t="s">
        <v>7</v>
      </c>
      <c r="D21" s="10" t="s">
        <v>21</v>
      </c>
      <c r="E21" s="11" t="s">
        <v>98</v>
      </c>
      <c r="F21" s="12">
        <v>46167</v>
      </c>
      <c r="G21" s="12">
        <v>46419</v>
      </c>
      <c r="H21" s="10">
        <v>36</v>
      </c>
      <c r="I21" s="10">
        <f>INDEX(WBS_Taches!O:O,MATCH(A21,WBS_Taches!A:A,0))</f>
        <v>0</v>
      </c>
    </row>
    <row r="22" spans="1:9" ht="29" x14ac:dyDescent="0.35">
      <c r="A22" s="10">
        <v>21</v>
      </c>
      <c r="B22" s="10" t="s">
        <v>106</v>
      </c>
      <c r="C22" s="10" t="s">
        <v>7</v>
      </c>
      <c r="D22" s="10" t="s">
        <v>21</v>
      </c>
      <c r="E22" s="11" t="s">
        <v>98</v>
      </c>
      <c r="F22" s="12">
        <v>46167</v>
      </c>
      <c r="G22" s="12">
        <v>46419</v>
      </c>
      <c r="H22" s="10">
        <v>36</v>
      </c>
      <c r="I22" s="10">
        <f>INDEX(WBS_Taches!O:O,MATCH(A22,WBS_Taches!A:A,0))</f>
        <v>0</v>
      </c>
    </row>
    <row r="23" spans="1:9" ht="29" x14ac:dyDescent="0.35">
      <c r="A23" s="10">
        <v>22</v>
      </c>
      <c r="B23" s="10" t="s">
        <v>108</v>
      </c>
      <c r="C23" s="10" t="s">
        <v>7</v>
      </c>
      <c r="D23" s="10" t="s">
        <v>21</v>
      </c>
      <c r="E23" s="11" t="s">
        <v>98</v>
      </c>
      <c r="F23" s="12">
        <v>46167</v>
      </c>
      <c r="G23" s="12">
        <v>46419</v>
      </c>
      <c r="H23" s="10">
        <v>36</v>
      </c>
      <c r="I23" s="10">
        <f>INDEX(WBS_Taches!O:O,MATCH(A23,WBS_Taches!A:A,0))</f>
        <v>0</v>
      </c>
    </row>
    <row r="24" spans="1:9" ht="29" x14ac:dyDescent="0.35">
      <c r="A24" s="10">
        <v>23</v>
      </c>
      <c r="B24" s="10" t="s">
        <v>110</v>
      </c>
      <c r="C24" s="10" t="s">
        <v>8</v>
      </c>
      <c r="D24" s="10" t="s">
        <v>21</v>
      </c>
      <c r="E24" s="11" t="s">
        <v>111</v>
      </c>
      <c r="F24" s="12">
        <v>46181</v>
      </c>
      <c r="G24" s="12">
        <v>46405</v>
      </c>
      <c r="H24" s="10">
        <v>32</v>
      </c>
      <c r="I24" s="10">
        <f>INDEX(WBS_Taches!O:O,MATCH(A24,WBS_Taches!A:A,0))</f>
        <v>0</v>
      </c>
    </row>
    <row r="25" spans="1:9" ht="29" x14ac:dyDescent="0.35">
      <c r="A25" s="10">
        <v>24</v>
      </c>
      <c r="B25" s="10" t="s">
        <v>114</v>
      </c>
      <c r="C25" s="10" t="s">
        <v>8</v>
      </c>
      <c r="D25" s="10" t="s">
        <v>21</v>
      </c>
      <c r="E25" s="11" t="s">
        <v>111</v>
      </c>
      <c r="F25" s="12">
        <v>46181</v>
      </c>
      <c r="G25" s="12">
        <v>46405</v>
      </c>
      <c r="H25" s="10">
        <v>32</v>
      </c>
      <c r="I25" s="10">
        <f>INDEX(WBS_Taches!O:O,MATCH(A25,WBS_Taches!A:A,0))</f>
        <v>0</v>
      </c>
    </row>
    <row r="26" spans="1:9" ht="29" x14ac:dyDescent="0.35">
      <c r="A26" s="10">
        <v>25</v>
      </c>
      <c r="B26" s="10" t="s">
        <v>116</v>
      </c>
      <c r="C26" s="10" t="s">
        <v>8</v>
      </c>
      <c r="D26" s="10" t="s">
        <v>21</v>
      </c>
      <c r="E26" s="11" t="s">
        <v>111</v>
      </c>
      <c r="F26" s="12">
        <v>46181</v>
      </c>
      <c r="G26" s="12">
        <v>46405</v>
      </c>
      <c r="H26" s="10">
        <v>32</v>
      </c>
      <c r="I26" s="10">
        <f>INDEX(WBS_Taches!O:O,MATCH(A26,WBS_Taches!A:A,0))</f>
        <v>0</v>
      </c>
    </row>
    <row r="27" spans="1:9" ht="29" x14ac:dyDescent="0.35">
      <c r="A27" s="10">
        <v>26</v>
      </c>
      <c r="B27" s="10" t="s">
        <v>118</v>
      </c>
      <c r="C27" s="10" t="s">
        <v>8</v>
      </c>
      <c r="D27" s="10" t="s">
        <v>21</v>
      </c>
      <c r="E27" s="11" t="s">
        <v>111</v>
      </c>
      <c r="F27" s="12">
        <v>46181</v>
      </c>
      <c r="G27" s="12">
        <v>46405</v>
      </c>
      <c r="H27" s="10">
        <v>32</v>
      </c>
      <c r="I27" s="10">
        <f>INDEX(WBS_Taches!O:O,MATCH(A27,WBS_Taches!A:A,0))</f>
        <v>0</v>
      </c>
    </row>
    <row r="28" spans="1:9" ht="29" x14ac:dyDescent="0.35">
      <c r="A28" s="10">
        <v>27</v>
      </c>
      <c r="B28" s="10" t="s">
        <v>120</v>
      </c>
      <c r="C28" s="10" t="s">
        <v>8</v>
      </c>
      <c r="D28" s="10" t="s">
        <v>21</v>
      </c>
      <c r="E28" s="11" t="s">
        <v>111</v>
      </c>
      <c r="F28" s="12">
        <v>46181</v>
      </c>
      <c r="G28" s="12">
        <v>46405</v>
      </c>
      <c r="H28" s="10">
        <v>32</v>
      </c>
      <c r="I28" s="10">
        <f>INDEX(WBS_Taches!O:O,MATCH(A28,WBS_Taches!A:A,0))</f>
        <v>0</v>
      </c>
    </row>
    <row r="29" spans="1:9" ht="29" x14ac:dyDescent="0.35">
      <c r="A29" s="10">
        <v>28</v>
      </c>
      <c r="B29" s="10" t="s">
        <v>122</v>
      </c>
      <c r="C29" s="10" t="s">
        <v>8</v>
      </c>
      <c r="D29" s="10" t="s">
        <v>21</v>
      </c>
      <c r="E29" s="11" t="s">
        <v>111</v>
      </c>
      <c r="F29" s="12">
        <v>46181</v>
      </c>
      <c r="G29" s="12">
        <v>46405</v>
      </c>
      <c r="H29" s="10">
        <v>32</v>
      </c>
      <c r="I29" s="10">
        <f>INDEX(WBS_Taches!O:O,MATCH(A29,WBS_Taches!A:A,0))</f>
        <v>0</v>
      </c>
    </row>
    <row r="30" spans="1:9" ht="29" x14ac:dyDescent="0.35">
      <c r="A30" s="10">
        <v>29</v>
      </c>
      <c r="B30" s="10" t="s">
        <v>124</v>
      </c>
      <c r="C30" s="10" t="s">
        <v>9</v>
      </c>
      <c r="D30" s="10" t="s">
        <v>21</v>
      </c>
      <c r="E30" s="11" t="s">
        <v>125</v>
      </c>
      <c r="F30" s="12">
        <v>46181</v>
      </c>
      <c r="G30" s="12">
        <v>46405</v>
      </c>
      <c r="H30" s="10">
        <v>32</v>
      </c>
      <c r="I30" s="10">
        <f>INDEX(WBS_Taches!O:O,MATCH(A30,WBS_Taches!A:A,0))</f>
        <v>0</v>
      </c>
    </row>
    <row r="31" spans="1:9" ht="29" x14ac:dyDescent="0.35">
      <c r="A31" s="10">
        <v>30</v>
      </c>
      <c r="B31" s="10" t="s">
        <v>128</v>
      </c>
      <c r="C31" s="10" t="s">
        <v>9</v>
      </c>
      <c r="D31" s="10" t="s">
        <v>21</v>
      </c>
      <c r="E31" s="11" t="s">
        <v>125</v>
      </c>
      <c r="F31" s="12">
        <v>46181</v>
      </c>
      <c r="G31" s="12">
        <v>46405</v>
      </c>
      <c r="H31" s="10">
        <v>32</v>
      </c>
      <c r="I31" s="10">
        <f>INDEX(WBS_Taches!O:O,MATCH(A31,WBS_Taches!A:A,0))</f>
        <v>0</v>
      </c>
    </row>
    <row r="32" spans="1:9" ht="29" x14ac:dyDescent="0.35">
      <c r="A32" s="10">
        <v>31</v>
      </c>
      <c r="B32" s="10" t="s">
        <v>130</v>
      </c>
      <c r="C32" s="10" t="s">
        <v>9</v>
      </c>
      <c r="D32" s="10" t="s">
        <v>21</v>
      </c>
      <c r="E32" s="11" t="s">
        <v>125</v>
      </c>
      <c r="F32" s="12">
        <v>46181</v>
      </c>
      <c r="G32" s="12">
        <v>46405</v>
      </c>
      <c r="H32" s="10">
        <v>32</v>
      </c>
      <c r="I32" s="10">
        <f>INDEX(WBS_Taches!O:O,MATCH(A32,WBS_Taches!A:A,0))</f>
        <v>0</v>
      </c>
    </row>
    <row r="33" spans="1:9" ht="29" x14ac:dyDescent="0.35">
      <c r="A33" s="10">
        <v>32</v>
      </c>
      <c r="B33" s="10" t="s">
        <v>132</v>
      </c>
      <c r="C33" s="10" t="s">
        <v>9</v>
      </c>
      <c r="D33" s="10" t="s">
        <v>21</v>
      </c>
      <c r="E33" s="11" t="s">
        <v>125</v>
      </c>
      <c r="F33" s="12">
        <v>46181</v>
      </c>
      <c r="G33" s="12">
        <v>46405</v>
      </c>
      <c r="H33" s="10">
        <v>32</v>
      </c>
      <c r="I33" s="10">
        <f>INDEX(WBS_Taches!O:O,MATCH(A33,WBS_Taches!A:A,0))</f>
        <v>0</v>
      </c>
    </row>
    <row r="34" spans="1:9" ht="29" x14ac:dyDescent="0.35">
      <c r="A34" s="10">
        <v>33</v>
      </c>
      <c r="B34" s="10" t="s">
        <v>134</v>
      </c>
      <c r="C34" s="10" t="s">
        <v>9</v>
      </c>
      <c r="D34" s="10" t="s">
        <v>21</v>
      </c>
      <c r="E34" s="11" t="s">
        <v>125</v>
      </c>
      <c r="F34" s="12">
        <v>46181</v>
      </c>
      <c r="G34" s="12">
        <v>46405</v>
      </c>
      <c r="H34" s="10">
        <v>32</v>
      </c>
      <c r="I34" s="10">
        <f>INDEX(WBS_Taches!O:O,MATCH(A34,WBS_Taches!A:A,0))</f>
        <v>0</v>
      </c>
    </row>
    <row r="35" spans="1:9" ht="29" x14ac:dyDescent="0.35">
      <c r="A35" s="10">
        <v>34</v>
      </c>
      <c r="B35" s="10" t="s">
        <v>136</v>
      </c>
      <c r="C35" s="10" t="s">
        <v>9</v>
      </c>
      <c r="D35" s="10" t="s">
        <v>21</v>
      </c>
      <c r="E35" s="11" t="s">
        <v>125</v>
      </c>
      <c r="F35" s="12">
        <v>46181</v>
      </c>
      <c r="G35" s="12">
        <v>46405</v>
      </c>
      <c r="H35" s="10">
        <v>32</v>
      </c>
      <c r="I35" s="10">
        <f>INDEX(WBS_Taches!O:O,MATCH(A35,WBS_Taches!A:A,0))</f>
        <v>0</v>
      </c>
    </row>
    <row r="36" spans="1:9" ht="29" x14ac:dyDescent="0.35">
      <c r="A36" s="10">
        <v>35</v>
      </c>
      <c r="B36" s="10" t="s">
        <v>138</v>
      </c>
      <c r="C36" s="10" t="s">
        <v>9</v>
      </c>
      <c r="D36" s="10" t="s">
        <v>21</v>
      </c>
      <c r="E36" s="11" t="s">
        <v>125</v>
      </c>
      <c r="F36" s="12">
        <v>46181</v>
      </c>
      <c r="G36" s="12">
        <v>46405</v>
      </c>
      <c r="H36" s="10">
        <v>32</v>
      </c>
      <c r="I36" s="10">
        <f>INDEX(WBS_Taches!O:O,MATCH(A36,WBS_Taches!A:A,0))</f>
        <v>0</v>
      </c>
    </row>
    <row r="37" spans="1:9" ht="29" x14ac:dyDescent="0.35">
      <c r="A37" s="10">
        <v>36</v>
      </c>
      <c r="B37" s="10" t="s">
        <v>140</v>
      </c>
      <c r="C37" s="10" t="s">
        <v>9</v>
      </c>
      <c r="D37" s="10" t="s">
        <v>21</v>
      </c>
      <c r="E37" s="11" t="s">
        <v>125</v>
      </c>
      <c r="F37" s="12">
        <v>46181</v>
      </c>
      <c r="G37" s="12">
        <v>46405</v>
      </c>
      <c r="H37" s="10">
        <v>32</v>
      </c>
      <c r="I37" s="10">
        <f>INDEX(WBS_Taches!O:O,MATCH(A37,WBS_Taches!A:A,0))</f>
        <v>0</v>
      </c>
    </row>
    <row r="38" spans="1:9" ht="29" x14ac:dyDescent="0.35">
      <c r="A38" s="10">
        <v>37</v>
      </c>
      <c r="B38" s="10" t="s">
        <v>142</v>
      </c>
      <c r="C38" s="10" t="s">
        <v>9</v>
      </c>
      <c r="D38" s="10" t="s">
        <v>21</v>
      </c>
      <c r="E38" s="11" t="s">
        <v>125</v>
      </c>
      <c r="F38" s="12">
        <v>46181</v>
      </c>
      <c r="G38" s="12">
        <v>46405</v>
      </c>
      <c r="H38" s="10">
        <v>32</v>
      </c>
      <c r="I38" s="10">
        <f>INDEX(WBS_Taches!O:O,MATCH(A38,WBS_Taches!A:A,0))</f>
        <v>0</v>
      </c>
    </row>
    <row r="39" spans="1:9" ht="29" x14ac:dyDescent="0.35">
      <c r="A39" s="10">
        <v>38</v>
      </c>
      <c r="B39" s="10" t="s">
        <v>144</v>
      </c>
      <c r="C39" s="10" t="s">
        <v>9</v>
      </c>
      <c r="D39" s="10" t="s">
        <v>21</v>
      </c>
      <c r="E39" s="11" t="s">
        <v>125</v>
      </c>
      <c r="F39" s="12">
        <v>46181</v>
      </c>
      <c r="G39" s="12">
        <v>46405</v>
      </c>
      <c r="H39" s="10">
        <v>32</v>
      </c>
      <c r="I39" s="10">
        <f>INDEX(WBS_Taches!O:O,MATCH(A39,WBS_Taches!A:A,0))</f>
        <v>0</v>
      </c>
    </row>
    <row r="40" spans="1:9" ht="29" x14ac:dyDescent="0.35">
      <c r="A40" s="10">
        <v>39</v>
      </c>
      <c r="B40" s="10" t="s">
        <v>146</v>
      </c>
      <c r="C40" s="10" t="s">
        <v>9</v>
      </c>
      <c r="D40" s="10" t="s">
        <v>21</v>
      </c>
      <c r="E40" s="11" t="s">
        <v>125</v>
      </c>
      <c r="F40" s="12">
        <v>46181</v>
      </c>
      <c r="G40" s="12">
        <v>46405</v>
      </c>
      <c r="H40" s="10">
        <v>32</v>
      </c>
      <c r="I40" s="10">
        <f>INDEX(WBS_Taches!O:O,MATCH(A40,WBS_Taches!A:A,0))</f>
        <v>0</v>
      </c>
    </row>
    <row r="41" spans="1:9" ht="29" x14ac:dyDescent="0.35">
      <c r="A41" s="10">
        <v>40</v>
      </c>
      <c r="B41" s="10" t="s">
        <v>148</v>
      </c>
      <c r="C41" s="10" t="s">
        <v>9</v>
      </c>
      <c r="D41" s="10" t="s">
        <v>21</v>
      </c>
      <c r="E41" s="11" t="s">
        <v>125</v>
      </c>
      <c r="F41" s="12">
        <v>46181</v>
      </c>
      <c r="G41" s="12">
        <v>46405</v>
      </c>
      <c r="H41" s="10">
        <v>32</v>
      </c>
      <c r="I41" s="10">
        <f>INDEX(WBS_Taches!O:O,MATCH(A41,WBS_Taches!A:A,0))</f>
        <v>0</v>
      </c>
    </row>
    <row r="42" spans="1:9" ht="29" x14ac:dyDescent="0.35">
      <c r="A42" s="10">
        <v>41</v>
      </c>
      <c r="B42" s="10" t="s">
        <v>150</v>
      </c>
      <c r="C42" s="10" t="s">
        <v>9</v>
      </c>
      <c r="D42" s="10" t="s">
        <v>21</v>
      </c>
      <c r="E42" s="11" t="s">
        <v>125</v>
      </c>
      <c r="F42" s="12">
        <v>46181</v>
      </c>
      <c r="G42" s="12">
        <v>46405</v>
      </c>
      <c r="H42" s="10">
        <v>32</v>
      </c>
      <c r="I42" s="10">
        <f>INDEX(WBS_Taches!O:O,MATCH(A42,WBS_Taches!A:A,0))</f>
        <v>0</v>
      </c>
    </row>
    <row r="43" spans="1:9" ht="29" x14ac:dyDescent="0.35">
      <c r="A43" s="10">
        <v>42</v>
      </c>
      <c r="B43" s="10" t="s">
        <v>152</v>
      </c>
      <c r="C43" s="10" t="s">
        <v>9</v>
      </c>
      <c r="D43" s="10" t="s">
        <v>21</v>
      </c>
      <c r="E43" s="11" t="s">
        <v>125</v>
      </c>
      <c r="F43" s="12">
        <v>46181</v>
      </c>
      <c r="G43" s="12">
        <v>46405</v>
      </c>
      <c r="H43" s="10">
        <v>32</v>
      </c>
      <c r="I43" s="10">
        <f>INDEX(WBS_Taches!O:O,MATCH(A43,WBS_Taches!A:A,0))</f>
        <v>0</v>
      </c>
    </row>
    <row r="44" spans="1:9" ht="29" x14ac:dyDescent="0.35">
      <c r="A44" s="10">
        <v>43</v>
      </c>
      <c r="B44" s="10" t="s">
        <v>154</v>
      </c>
      <c r="C44" s="10" t="s">
        <v>9</v>
      </c>
      <c r="D44" s="10" t="s">
        <v>21</v>
      </c>
      <c r="E44" s="11" t="s">
        <v>125</v>
      </c>
      <c r="F44" s="12">
        <v>46181</v>
      </c>
      <c r="G44" s="12">
        <v>46405</v>
      </c>
      <c r="H44" s="10">
        <v>32</v>
      </c>
      <c r="I44" s="10">
        <f>INDEX(WBS_Taches!O:O,MATCH(A44,WBS_Taches!A:A,0))</f>
        <v>0</v>
      </c>
    </row>
    <row r="45" spans="1:9" ht="29" x14ac:dyDescent="0.35">
      <c r="A45" s="10">
        <v>44</v>
      </c>
      <c r="B45" s="10" t="s">
        <v>156</v>
      </c>
      <c r="C45" s="10" t="s">
        <v>9</v>
      </c>
      <c r="D45" s="10" t="s">
        <v>21</v>
      </c>
      <c r="E45" s="11" t="s">
        <v>125</v>
      </c>
      <c r="F45" s="12">
        <v>46181</v>
      </c>
      <c r="G45" s="12">
        <v>46405</v>
      </c>
      <c r="H45" s="10">
        <v>32</v>
      </c>
      <c r="I45" s="10">
        <f>INDEX(WBS_Taches!O:O,MATCH(A45,WBS_Taches!A:A,0))</f>
        <v>0</v>
      </c>
    </row>
    <row r="46" spans="1:9" ht="29" x14ac:dyDescent="0.35">
      <c r="A46" s="10">
        <v>45</v>
      </c>
      <c r="B46" s="10" t="s">
        <v>158</v>
      </c>
      <c r="C46" s="10" t="s">
        <v>9</v>
      </c>
      <c r="D46" s="10" t="s">
        <v>21</v>
      </c>
      <c r="E46" s="11" t="s">
        <v>125</v>
      </c>
      <c r="F46" s="12">
        <v>46181</v>
      </c>
      <c r="G46" s="12">
        <v>46405</v>
      </c>
      <c r="H46" s="10">
        <v>32</v>
      </c>
      <c r="I46" s="10">
        <f>INDEX(WBS_Taches!O:O,MATCH(A46,WBS_Taches!A:A,0))</f>
        <v>0</v>
      </c>
    </row>
    <row r="47" spans="1:9" ht="29" x14ac:dyDescent="0.35">
      <c r="A47" s="10">
        <v>46</v>
      </c>
      <c r="B47" s="10" t="s">
        <v>160</v>
      </c>
      <c r="C47" s="10" t="s">
        <v>9</v>
      </c>
      <c r="D47" s="10" t="s">
        <v>21</v>
      </c>
      <c r="E47" s="11" t="s">
        <v>125</v>
      </c>
      <c r="F47" s="12">
        <v>46181</v>
      </c>
      <c r="G47" s="12">
        <v>46405</v>
      </c>
      <c r="H47" s="10">
        <v>32</v>
      </c>
      <c r="I47" s="10">
        <f>INDEX(WBS_Taches!O:O,MATCH(A47,WBS_Taches!A:A,0))</f>
        <v>0</v>
      </c>
    </row>
    <row r="48" spans="1:9" ht="29" x14ac:dyDescent="0.35">
      <c r="A48" s="10">
        <v>47</v>
      </c>
      <c r="B48" s="10" t="s">
        <v>162</v>
      </c>
      <c r="C48" s="10" t="s">
        <v>9</v>
      </c>
      <c r="D48" s="10" t="s">
        <v>21</v>
      </c>
      <c r="E48" s="11" t="s">
        <v>125</v>
      </c>
      <c r="F48" s="12">
        <v>46181</v>
      </c>
      <c r="G48" s="12">
        <v>46405</v>
      </c>
      <c r="H48" s="10">
        <v>32</v>
      </c>
      <c r="I48" s="10">
        <f>INDEX(WBS_Taches!O:O,MATCH(A48,WBS_Taches!A:A,0))</f>
        <v>0</v>
      </c>
    </row>
    <row r="49" spans="1:9" ht="29" x14ac:dyDescent="0.35">
      <c r="A49" s="10">
        <v>48</v>
      </c>
      <c r="B49" s="10" t="s">
        <v>164</v>
      </c>
      <c r="C49" s="10" t="s">
        <v>9</v>
      </c>
      <c r="D49" s="10" t="s">
        <v>21</v>
      </c>
      <c r="E49" s="11" t="s">
        <v>125</v>
      </c>
      <c r="F49" s="12">
        <v>46181</v>
      </c>
      <c r="G49" s="12">
        <v>46405</v>
      </c>
      <c r="H49" s="10">
        <v>32</v>
      </c>
      <c r="I49" s="10">
        <f>INDEX(WBS_Taches!O:O,MATCH(A49,WBS_Taches!A:A,0))</f>
        <v>0</v>
      </c>
    </row>
    <row r="50" spans="1:9" ht="29" x14ac:dyDescent="0.35">
      <c r="A50" s="10">
        <v>49</v>
      </c>
      <c r="B50" s="10" t="s">
        <v>166</v>
      </c>
      <c r="C50" s="10" t="s">
        <v>9</v>
      </c>
      <c r="D50" s="10" t="s">
        <v>21</v>
      </c>
      <c r="E50" s="11" t="s">
        <v>125</v>
      </c>
      <c r="F50" s="12">
        <v>46181</v>
      </c>
      <c r="G50" s="12">
        <v>46405</v>
      </c>
      <c r="H50" s="10">
        <v>32</v>
      </c>
      <c r="I50" s="10">
        <f>INDEX(WBS_Taches!O:O,MATCH(A50,WBS_Taches!A:A,0))</f>
        <v>0</v>
      </c>
    </row>
    <row r="51" spans="1:9" ht="29" x14ac:dyDescent="0.35">
      <c r="A51" s="10">
        <v>50</v>
      </c>
      <c r="B51" s="10" t="s">
        <v>168</v>
      </c>
      <c r="C51" s="10" t="s">
        <v>9</v>
      </c>
      <c r="D51" s="10" t="s">
        <v>21</v>
      </c>
      <c r="E51" s="11" t="s">
        <v>125</v>
      </c>
      <c r="F51" s="12">
        <v>46181</v>
      </c>
      <c r="G51" s="12">
        <v>46405</v>
      </c>
      <c r="H51" s="10">
        <v>32</v>
      </c>
      <c r="I51" s="10">
        <f>INDEX(WBS_Taches!O:O,MATCH(A51,WBS_Taches!A:A,0))</f>
        <v>0</v>
      </c>
    </row>
    <row r="52" spans="1:9" ht="29" x14ac:dyDescent="0.35">
      <c r="A52" s="10">
        <v>51</v>
      </c>
      <c r="B52" s="10" t="s">
        <v>170</v>
      </c>
      <c r="C52" s="10" t="s">
        <v>9</v>
      </c>
      <c r="D52" s="10" t="s">
        <v>21</v>
      </c>
      <c r="E52" s="11" t="s">
        <v>125</v>
      </c>
      <c r="F52" s="12">
        <v>46181</v>
      </c>
      <c r="G52" s="12">
        <v>46405</v>
      </c>
      <c r="H52" s="10">
        <v>32</v>
      </c>
      <c r="I52" s="10">
        <f>INDEX(WBS_Taches!O:O,MATCH(A52,WBS_Taches!A:A,0))</f>
        <v>0</v>
      </c>
    </row>
    <row r="53" spans="1:9" ht="29" x14ac:dyDescent="0.35">
      <c r="A53" s="10">
        <v>52</v>
      </c>
      <c r="B53" s="10" t="s">
        <v>172</v>
      </c>
      <c r="C53" s="10" t="s">
        <v>9</v>
      </c>
      <c r="D53" s="10" t="s">
        <v>21</v>
      </c>
      <c r="E53" s="11" t="s">
        <v>125</v>
      </c>
      <c r="F53" s="12">
        <v>46181</v>
      </c>
      <c r="G53" s="12">
        <v>46405</v>
      </c>
      <c r="H53" s="10">
        <v>32</v>
      </c>
      <c r="I53" s="10">
        <f>INDEX(WBS_Taches!O:O,MATCH(A53,WBS_Taches!A:A,0))</f>
        <v>0</v>
      </c>
    </row>
    <row r="54" spans="1:9" ht="29" x14ac:dyDescent="0.35">
      <c r="A54" s="10">
        <v>53</v>
      </c>
      <c r="B54" s="10" t="s">
        <v>174</v>
      </c>
      <c r="C54" s="10" t="s">
        <v>9</v>
      </c>
      <c r="D54" s="10" t="s">
        <v>21</v>
      </c>
      <c r="E54" s="11" t="s">
        <v>125</v>
      </c>
      <c r="F54" s="12">
        <v>46181</v>
      </c>
      <c r="G54" s="12">
        <v>46405</v>
      </c>
      <c r="H54" s="10">
        <v>32</v>
      </c>
      <c r="I54" s="10">
        <f>INDEX(WBS_Taches!O:O,MATCH(A54,WBS_Taches!A:A,0))</f>
        <v>0</v>
      </c>
    </row>
    <row r="55" spans="1:9" ht="29" x14ac:dyDescent="0.35">
      <c r="A55" s="10">
        <v>54</v>
      </c>
      <c r="B55" s="10" t="s">
        <v>176</v>
      </c>
      <c r="C55" s="10" t="s">
        <v>9</v>
      </c>
      <c r="D55" s="10" t="s">
        <v>21</v>
      </c>
      <c r="E55" s="11" t="s">
        <v>125</v>
      </c>
      <c r="F55" s="12">
        <v>46181</v>
      </c>
      <c r="G55" s="12">
        <v>46405</v>
      </c>
      <c r="H55" s="10">
        <v>32</v>
      </c>
      <c r="I55" s="10">
        <f>INDEX(WBS_Taches!O:O,MATCH(A55,WBS_Taches!A:A,0))</f>
        <v>0</v>
      </c>
    </row>
    <row r="56" spans="1:9" ht="29" x14ac:dyDescent="0.35">
      <c r="A56" s="10">
        <v>55</v>
      </c>
      <c r="B56" s="10" t="s">
        <v>178</v>
      </c>
      <c r="C56" s="10" t="s">
        <v>9</v>
      </c>
      <c r="D56" s="10" t="s">
        <v>21</v>
      </c>
      <c r="E56" s="11" t="s">
        <v>125</v>
      </c>
      <c r="F56" s="12">
        <v>46181</v>
      </c>
      <c r="G56" s="12">
        <v>46405</v>
      </c>
      <c r="H56" s="10">
        <v>32</v>
      </c>
      <c r="I56" s="10">
        <f>INDEX(WBS_Taches!O:O,MATCH(A56,WBS_Taches!A:A,0))</f>
        <v>0</v>
      </c>
    </row>
    <row r="57" spans="1:9" x14ac:dyDescent="0.35">
      <c r="A57" s="10">
        <v>56</v>
      </c>
      <c r="B57" s="10" t="s">
        <v>180</v>
      </c>
      <c r="C57" s="10" t="s">
        <v>10</v>
      </c>
      <c r="D57" s="10" t="s">
        <v>21</v>
      </c>
      <c r="E57" s="11" t="s">
        <v>181</v>
      </c>
      <c r="F57" s="12">
        <v>46209</v>
      </c>
      <c r="G57" s="12">
        <v>46461</v>
      </c>
      <c r="H57" s="10">
        <v>36</v>
      </c>
      <c r="I57" s="10">
        <f>INDEX(WBS_Taches!O:O,MATCH(A57,WBS_Taches!A:A,0))</f>
        <v>0</v>
      </c>
    </row>
    <row r="58" spans="1:9" ht="29" x14ac:dyDescent="0.35">
      <c r="A58" s="10">
        <v>57</v>
      </c>
      <c r="B58" s="10" t="s">
        <v>184</v>
      </c>
      <c r="C58" s="10" t="s">
        <v>10</v>
      </c>
      <c r="D58" s="10" t="s">
        <v>21</v>
      </c>
      <c r="E58" s="11" t="s">
        <v>185</v>
      </c>
      <c r="F58" s="12">
        <v>46209</v>
      </c>
      <c r="G58" s="12">
        <v>46461</v>
      </c>
      <c r="H58" s="10">
        <v>36</v>
      </c>
      <c r="I58" s="10">
        <f>INDEX(WBS_Taches!O:O,MATCH(A58,WBS_Taches!A:A,0))</f>
        <v>0</v>
      </c>
    </row>
    <row r="59" spans="1:9" x14ac:dyDescent="0.35">
      <c r="A59" s="10">
        <v>58</v>
      </c>
      <c r="B59" s="10" t="s">
        <v>189</v>
      </c>
      <c r="C59" s="10" t="s">
        <v>11</v>
      </c>
      <c r="D59" s="10" t="s">
        <v>22</v>
      </c>
      <c r="E59" s="11" t="s">
        <v>190</v>
      </c>
      <c r="F59" s="12">
        <v>46377</v>
      </c>
      <c r="G59" s="12">
        <v>46517</v>
      </c>
      <c r="H59" s="10">
        <v>20</v>
      </c>
      <c r="I59" s="10">
        <f>INDEX(WBS_Taches!O:O,MATCH(A59,WBS_Taches!A:A,0))</f>
        <v>0</v>
      </c>
    </row>
    <row r="60" spans="1:9" x14ac:dyDescent="0.35">
      <c r="A60" s="10">
        <v>59</v>
      </c>
      <c r="B60" s="10" t="s">
        <v>194</v>
      </c>
      <c r="C60" s="10" t="s">
        <v>11</v>
      </c>
      <c r="D60" s="10" t="s">
        <v>22</v>
      </c>
      <c r="E60" s="11" t="s">
        <v>195</v>
      </c>
      <c r="F60" s="12">
        <v>46377</v>
      </c>
      <c r="G60" s="12">
        <v>46517</v>
      </c>
      <c r="H60" s="10">
        <v>20</v>
      </c>
      <c r="I60" s="10">
        <f>INDEX(WBS_Taches!O:O,MATCH(A60,WBS_Taches!A:A,0))</f>
        <v>0</v>
      </c>
    </row>
    <row r="61" spans="1:9" ht="29" x14ac:dyDescent="0.35">
      <c r="A61" s="10">
        <v>60</v>
      </c>
      <c r="B61" s="10" t="s">
        <v>198</v>
      </c>
      <c r="C61" s="10" t="s">
        <v>11</v>
      </c>
      <c r="D61" s="10" t="s">
        <v>23</v>
      </c>
      <c r="E61" s="11" t="s">
        <v>199</v>
      </c>
      <c r="F61" s="12">
        <v>46517</v>
      </c>
      <c r="G61" s="12">
        <v>46573</v>
      </c>
      <c r="H61" s="10">
        <v>8</v>
      </c>
      <c r="I61" s="10">
        <f>INDEX(WBS_Taches!O:O,MATCH(A61,WBS_Taches!A:A,0))</f>
        <v>0</v>
      </c>
    </row>
  </sheetData>
  <conditionalFormatting sqref="J2:CI61">
    <cfRule type="expression" dxfId="0" priority="1">
      <formula>AND($F2&lt;=J1,$G2&gt;=J1)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B20"/>
  <sheetViews>
    <sheetView topLeftCell="A12" workbookViewId="0">
      <selection activeCell="B20" sqref="B20"/>
    </sheetView>
  </sheetViews>
  <sheetFormatPr baseColWidth="10" defaultColWidth="8.7265625" defaultRowHeight="14.5" x14ac:dyDescent="0.35"/>
  <cols>
    <col min="1" max="1" width="46" customWidth="1"/>
    <col min="2" max="2" width="22" customWidth="1"/>
  </cols>
  <sheetData>
    <row r="1" spans="1:2" ht="18.5" x14ac:dyDescent="0.45">
      <c r="A1" s="1" t="s">
        <v>208</v>
      </c>
    </row>
    <row r="3" spans="1:2" ht="15.5" x14ac:dyDescent="0.35">
      <c r="A3" s="2" t="s">
        <v>209</v>
      </c>
      <c r="B3" s="13">
        <v>45955</v>
      </c>
    </row>
    <row r="5" spans="1:2" x14ac:dyDescent="0.35">
      <c r="A5" s="3" t="s">
        <v>210</v>
      </c>
      <c r="B5">
        <f>COUNTA(WBS_Taches!A2:A999)</f>
        <v>60</v>
      </c>
    </row>
    <row r="7" spans="1:2" x14ac:dyDescent="0.35">
      <c r="A7" s="3" t="s">
        <v>211</v>
      </c>
      <c r="B7">
        <f>COUNTIF(WBS_Taches!P:P,"Terminé")</f>
        <v>0</v>
      </c>
    </row>
    <row r="9" spans="1:2" x14ac:dyDescent="0.35">
      <c r="A9" s="3" t="s">
        <v>212</v>
      </c>
      <c r="B9">
        <f>COUNTIF(WBS_Taches!P:P,"En cours")</f>
        <v>0</v>
      </c>
    </row>
    <row r="11" spans="1:2" x14ac:dyDescent="0.35">
      <c r="A11" s="3" t="s">
        <v>213</v>
      </c>
      <c r="B11">
        <f>COUNTIF(WBS_Taches!P:P,"Bloqué")</f>
        <v>0</v>
      </c>
    </row>
    <row r="13" spans="1:2" x14ac:dyDescent="0.35">
      <c r="A13" s="3" t="s">
        <v>214</v>
      </c>
      <c r="B13">
        <f ca="1">COUNTIFS(WBS_Taches!L:L,"&lt;"&amp;TODAY(),WBS_Taches!P:P,"&lt;&gt;Terminé")</f>
        <v>0</v>
      </c>
    </row>
    <row r="15" spans="1:2" x14ac:dyDescent="0.35">
      <c r="A15" s="3" t="s">
        <v>215</v>
      </c>
      <c r="B15" s="14">
        <f>IFERROR(SUMPRODUCT(WBS_Taches!O2:O999,WBS_Taches!J2:J999)/SUM(WBS_Taches!J2:J999),0)</f>
        <v>0</v>
      </c>
    </row>
    <row r="16" spans="1:2" ht="15.5" x14ac:dyDescent="0.35">
      <c r="A16" s="2" t="s">
        <v>216</v>
      </c>
    </row>
    <row r="18" spans="1:2" x14ac:dyDescent="0.35">
      <c r="A18" t="s">
        <v>217</v>
      </c>
      <c r="B18" s="14">
        <f>IFERROR(SUMPRODUCT(IFERROR(MAX(0,MIN(1,(B3-Planning_Gantt!F2:F999)/(Planning_Gantt!G2:G999-Planning_Gantt!F2:F999))),0),WBS_Taches!J2:J999)/SUM(WBS_Taches!J2:J999),0)</f>
        <v>0</v>
      </c>
    </row>
    <row r="20" spans="1:2" x14ac:dyDescent="0.35">
      <c r="A20" t="s">
        <v>218</v>
      </c>
      <c r="B20" s="15">
        <f>IFERROR(B6/B18,0)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42" customWidth="1"/>
    <col min="3" max="3" width="22" customWidth="1"/>
    <col min="4" max="6" width="16" customWidth="1"/>
    <col min="7" max="7" width="40" customWidth="1"/>
  </cols>
  <sheetData>
    <row r="1" spans="1:7" x14ac:dyDescent="0.35">
      <c r="A1" s="4" t="s">
        <v>219</v>
      </c>
      <c r="B1" s="4" t="s">
        <v>220</v>
      </c>
      <c r="C1" s="4" t="s">
        <v>26</v>
      </c>
      <c r="D1" s="4" t="s">
        <v>221</v>
      </c>
      <c r="E1" s="4" t="s">
        <v>222</v>
      </c>
      <c r="F1" s="4" t="s">
        <v>39</v>
      </c>
      <c r="G1" s="4" t="s">
        <v>42</v>
      </c>
    </row>
    <row r="2" spans="1:7" x14ac:dyDescent="0.35">
      <c r="A2" s="5" t="s">
        <v>223</v>
      </c>
      <c r="B2" s="6" t="s">
        <v>224</v>
      </c>
      <c r="C2" s="5" t="s">
        <v>19</v>
      </c>
      <c r="D2" s="5"/>
      <c r="E2" s="5"/>
      <c r="F2" s="5" t="s">
        <v>14</v>
      </c>
      <c r="G2" s="6"/>
    </row>
    <row r="3" spans="1:7" ht="29" x14ac:dyDescent="0.35">
      <c r="A3" s="5" t="s">
        <v>225</v>
      </c>
      <c r="B3" s="6" t="s">
        <v>226</v>
      </c>
      <c r="C3" s="5" t="s">
        <v>12</v>
      </c>
      <c r="D3" s="5"/>
      <c r="E3" s="5"/>
      <c r="F3" s="5" t="s">
        <v>14</v>
      </c>
      <c r="G3" s="6"/>
    </row>
    <row r="4" spans="1:7" x14ac:dyDescent="0.35">
      <c r="A4" s="5" t="s">
        <v>227</v>
      </c>
      <c r="B4" s="6" t="s">
        <v>228</v>
      </c>
      <c r="C4" s="5" t="s">
        <v>5</v>
      </c>
      <c r="D4" s="5"/>
      <c r="E4" s="5"/>
      <c r="F4" s="5" t="s">
        <v>14</v>
      </c>
      <c r="G4" s="6"/>
    </row>
    <row r="5" spans="1:7" x14ac:dyDescent="0.35">
      <c r="A5" s="5" t="s">
        <v>229</v>
      </c>
      <c r="B5" s="6" t="s">
        <v>230</v>
      </c>
      <c r="C5" s="5" t="s">
        <v>4</v>
      </c>
      <c r="D5" s="5"/>
      <c r="E5" s="5"/>
      <c r="F5" s="5" t="s">
        <v>14</v>
      </c>
      <c r="G5" s="6"/>
    </row>
    <row r="6" spans="1:7" x14ac:dyDescent="0.35">
      <c r="A6" s="5" t="s">
        <v>231</v>
      </c>
      <c r="B6" s="6" t="s">
        <v>232</v>
      </c>
      <c r="C6" s="5" t="s">
        <v>233</v>
      </c>
      <c r="D6" s="5"/>
      <c r="E6" s="5"/>
      <c r="F6" s="5" t="s">
        <v>14</v>
      </c>
      <c r="G6" s="6"/>
    </row>
    <row r="7" spans="1:7" x14ac:dyDescent="0.35">
      <c r="A7" s="5" t="s">
        <v>234</v>
      </c>
      <c r="B7" s="6" t="s">
        <v>235</v>
      </c>
      <c r="C7" s="5" t="s">
        <v>10</v>
      </c>
      <c r="D7" s="5"/>
      <c r="E7" s="5"/>
      <c r="F7" s="5" t="s">
        <v>14</v>
      </c>
      <c r="G7" s="6"/>
    </row>
    <row r="8" spans="1:7" x14ac:dyDescent="0.35">
      <c r="A8" s="5" t="s">
        <v>236</v>
      </c>
      <c r="B8" s="6" t="s">
        <v>237</v>
      </c>
      <c r="C8" s="5" t="s">
        <v>11</v>
      </c>
      <c r="D8" s="5"/>
      <c r="E8" s="5"/>
      <c r="F8" s="5" t="s">
        <v>14</v>
      </c>
      <c r="G8" s="6"/>
    </row>
    <row r="9" spans="1:7" x14ac:dyDescent="0.35">
      <c r="A9" s="5" t="s">
        <v>238</v>
      </c>
      <c r="B9" s="6" t="s">
        <v>239</v>
      </c>
      <c r="C9" s="5" t="s">
        <v>11</v>
      </c>
      <c r="D9" s="5"/>
      <c r="E9" s="5"/>
      <c r="F9" s="5" t="s">
        <v>14</v>
      </c>
      <c r="G9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41"/>
  <sheetViews>
    <sheetView workbookViewId="0">
      <pane ySplit="1" topLeftCell="A5" activePane="bottomLeft" state="frozen"/>
      <selection pane="bottomLeft" activeCell="G7" sqref="G7"/>
    </sheetView>
  </sheetViews>
  <sheetFormatPr baseColWidth="10" defaultColWidth="8.7265625" defaultRowHeight="14.5" x14ac:dyDescent="0.35"/>
  <cols>
    <col min="1" max="1" width="8" customWidth="1"/>
    <col min="2" max="2" width="28" customWidth="1"/>
    <col min="3" max="3" width="42" customWidth="1"/>
    <col min="4" max="4" width="22" customWidth="1"/>
    <col min="5" max="6" width="16" customWidth="1"/>
    <col min="7" max="7" width="18" customWidth="1"/>
    <col min="8" max="8" width="42" customWidth="1"/>
    <col min="9" max="9" width="20" customWidth="1"/>
    <col min="10" max="10" width="16" customWidth="1"/>
  </cols>
  <sheetData>
    <row r="1" spans="1:10" ht="29" x14ac:dyDescent="0.35">
      <c r="A1" s="4" t="s">
        <v>24</v>
      </c>
      <c r="B1" s="4" t="s">
        <v>240</v>
      </c>
      <c r="C1" s="4" t="s">
        <v>241</v>
      </c>
      <c r="D1" s="4" t="s">
        <v>26</v>
      </c>
      <c r="E1" s="4" t="s">
        <v>242</v>
      </c>
      <c r="F1" s="4" t="s">
        <v>243</v>
      </c>
      <c r="G1" s="4" t="s">
        <v>244</v>
      </c>
      <c r="H1" s="4" t="s">
        <v>245</v>
      </c>
      <c r="I1" s="4" t="s">
        <v>246</v>
      </c>
      <c r="J1" s="4" t="s">
        <v>39</v>
      </c>
    </row>
    <row r="2" spans="1:10" x14ac:dyDescent="0.35">
      <c r="G2">
        <f t="shared" ref="G2:G41" si="0">E2*F2</f>
        <v>0</v>
      </c>
    </row>
    <row r="3" spans="1:10" x14ac:dyDescent="0.35">
      <c r="G3">
        <f t="shared" si="0"/>
        <v>0</v>
      </c>
    </row>
    <row r="4" spans="1:10" x14ac:dyDescent="0.35">
      <c r="G4">
        <f t="shared" si="0"/>
        <v>0</v>
      </c>
    </row>
    <row r="5" spans="1:10" x14ac:dyDescent="0.35">
      <c r="G5">
        <f t="shared" si="0"/>
        <v>0</v>
      </c>
    </row>
    <row r="6" spans="1:10" x14ac:dyDescent="0.35">
      <c r="G6">
        <f t="shared" si="0"/>
        <v>0</v>
      </c>
    </row>
    <row r="7" spans="1:10" x14ac:dyDescent="0.35">
      <c r="G7">
        <f t="shared" si="0"/>
        <v>0</v>
      </c>
    </row>
    <row r="8" spans="1:10" x14ac:dyDescent="0.35">
      <c r="G8">
        <f t="shared" si="0"/>
        <v>0</v>
      </c>
    </row>
    <row r="9" spans="1:10" x14ac:dyDescent="0.35">
      <c r="G9">
        <f t="shared" si="0"/>
        <v>0</v>
      </c>
    </row>
    <row r="10" spans="1:10" x14ac:dyDescent="0.35">
      <c r="G10">
        <f t="shared" si="0"/>
        <v>0</v>
      </c>
    </row>
    <row r="11" spans="1:10" x14ac:dyDescent="0.35">
      <c r="G11">
        <f t="shared" si="0"/>
        <v>0</v>
      </c>
    </row>
    <row r="12" spans="1:10" x14ac:dyDescent="0.35">
      <c r="G12">
        <f t="shared" si="0"/>
        <v>0</v>
      </c>
    </row>
    <row r="13" spans="1:10" x14ac:dyDescent="0.35">
      <c r="G13">
        <f t="shared" si="0"/>
        <v>0</v>
      </c>
    </row>
    <row r="14" spans="1:10" x14ac:dyDescent="0.35">
      <c r="G14">
        <f t="shared" si="0"/>
        <v>0</v>
      </c>
    </row>
    <row r="15" spans="1:10" x14ac:dyDescent="0.35">
      <c r="G15">
        <f t="shared" si="0"/>
        <v>0</v>
      </c>
    </row>
    <row r="16" spans="1:10" x14ac:dyDescent="0.35">
      <c r="G16">
        <f t="shared" si="0"/>
        <v>0</v>
      </c>
    </row>
    <row r="17" spans="7:7" x14ac:dyDescent="0.35">
      <c r="G17">
        <f t="shared" si="0"/>
        <v>0</v>
      </c>
    </row>
    <row r="18" spans="7:7" x14ac:dyDescent="0.35">
      <c r="G18">
        <f t="shared" si="0"/>
        <v>0</v>
      </c>
    </row>
    <row r="19" spans="7:7" x14ac:dyDescent="0.35">
      <c r="G19">
        <f t="shared" si="0"/>
        <v>0</v>
      </c>
    </row>
    <row r="20" spans="7:7" x14ac:dyDescent="0.35">
      <c r="G20">
        <f t="shared" si="0"/>
        <v>0</v>
      </c>
    </row>
    <row r="21" spans="7:7" x14ac:dyDescent="0.35">
      <c r="G21">
        <f t="shared" si="0"/>
        <v>0</v>
      </c>
    </row>
    <row r="22" spans="7:7" x14ac:dyDescent="0.35">
      <c r="G22">
        <f t="shared" si="0"/>
        <v>0</v>
      </c>
    </row>
    <row r="23" spans="7:7" x14ac:dyDescent="0.35">
      <c r="G23">
        <f t="shared" si="0"/>
        <v>0</v>
      </c>
    </row>
    <row r="24" spans="7:7" x14ac:dyDescent="0.35">
      <c r="G24">
        <f t="shared" si="0"/>
        <v>0</v>
      </c>
    </row>
    <row r="25" spans="7:7" x14ac:dyDescent="0.35">
      <c r="G25">
        <f t="shared" si="0"/>
        <v>0</v>
      </c>
    </row>
    <row r="26" spans="7:7" x14ac:dyDescent="0.35">
      <c r="G26">
        <f t="shared" si="0"/>
        <v>0</v>
      </c>
    </row>
    <row r="27" spans="7:7" x14ac:dyDescent="0.35">
      <c r="G27">
        <f t="shared" si="0"/>
        <v>0</v>
      </c>
    </row>
    <row r="28" spans="7:7" x14ac:dyDescent="0.35">
      <c r="G28">
        <f t="shared" si="0"/>
        <v>0</v>
      </c>
    </row>
    <row r="29" spans="7:7" x14ac:dyDescent="0.35">
      <c r="G29">
        <f t="shared" si="0"/>
        <v>0</v>
      </c>
    </row>
    <row r="30" spans="7:7" x14ac:dyDescent="0.35">
      <c r="G30">
        <f t="shared" si="0"/>
        <v>0</v>
      </c>
    </row>
    <row r="31" spans="7:7" x14ac:dyDescent="0.35">
      <c r="G31">
        <f t="shared" si="0"/>
        <v>0</v>
      </c>
    </row>
    <row r="32" spans="7:7" x14ac:dyDescent="0.35">
      <c r="G32">
        <f t="shared" si="0"/>
        <v>0</v>
      </c>
    </row>
    <row r="33" spans="7:7" x14ac:dyDescent="0.35">
      <c r="G33">
        <f t="shared" si="0"/>
        <v>0</v>
      </c>
    </row>
    <row r="34" spans="7:7" x14ac:dyDescent="0.35">
      <c r="G34">
        <f t="shared" si="0"/>
        <v>0</v>
      </c>
    </row>
    <row r="35" spans="7:7" x14ac:dyDescent="0.35">
      <c r="G35">
        <f t="shared" si="0"/>
        <v>0</v>
      </c>
    </row>
    <row r="36" spans="7:7" x14ac:dyDescent="0.35">
      <c r="G36">
        <f t="shared" si="0"/>
        <v>0</v>
      </c>
    </row>
    <row r="37" spans="7:7" x14ac:dyDescent="0.35">
      <c r="G37">
        <f t="shared" si="0"/>
        <v>0</v>
      </c>
    </row>
    <row r="38" spans="7:7" x14ac:dyDescent="0.35">
      <c r="G38">
        <f t="shared" si="0"/>
        <v>0</v>
      </c>
    </row>
    <row r="39" spans="7:7" x14ac:dyDescent="0.35">
      <c r="G39">
        <f t="shared" si="0"/>
        <v>0</v>
      </c>
    </row>
    <row r="40" spans="7:7" x14ac:dyDescent="0.35">
      <c r="G40">
        <f t="shared" si="0"/>
        <v>0</v>
      </c>
    </row>
    <row r="41" spans="7:7" x14ac:dyDescent="0.35">
      <c r="G4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REF_LISTS</vt:lpstr>
      <vt:lpstr>WBS_Taches</vt:lpstr>
      <vt:lpstr>Planning_Gantt</vt:lpstr>
      <vt:lpstr>KPIs</vt:lpstr>
      <vt:lpstr>Jalons</vt:lpstr>
      <vt:lpstr>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B</cp:lastModifiedBy>
  <dcterms:created xsi:type="dcterms:W3CDTF">2025-10-25T19:21:41Z</dcterms:created>
  <dcterms:modified xsi:type="dcterms:W3CDTF">2025-11-12T02:52:51Z</dcterms:modified>
</cp:coreProperties>
</file>